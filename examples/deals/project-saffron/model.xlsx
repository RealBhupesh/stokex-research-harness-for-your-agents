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ver" sheetId="1" r:id="rId1"/>
    <sheet name="Inputs" sheetId="2" r:id="rId2"/>
    <sheet name="IS" sheetId="3" r:id="rId3"/>
    <sheet name="BS" sheetId="4" r:id="rId4"/>
    <sheet name="CF" sheetId="5" r:id="rId5"/>
    <sheet name="Debt" sheetId="6" r:id="rId6"/>
    <sheet name="Deal" sheetId="7" r:id="rId7"/>
    <sheet name="Returns" sheetId="8" r:id="rId8"/>
    <sheet name="WACC" sheetId="9" r:id="rId9"/>
    <sheet name="DCF" sheetId="10" r:id="rId10"/>
    <sheet name="Comps" sheetId="11" r:id="rId11"/>
    <sheet name="Sensitivity" sheetId="12" r:id="rId12"/>
    <sheet name="Football" sheetId="13" r:id="rId13"/>
    <sheet name="Checks" sheetId="14" r:id="rId14"/>
  </sheets>
  <definedNames>
    <definedName name="Cap_Pct">Inputs!$D$28</definedName>
    <definedName name="Cap_Threshold">Inputs!$D$29</definedName>
    <definedName name="Case">Inputs!$D$6</definedName>
    <definedName name="Cash_Yield">Inputs!$D$27</definedName>
    <definedName name="DCF_Exit_Multiple">DCF!$D$7</definedName>
    <definedName name="Diluted_Shares">Inputs!$D$11</definedName>
    <definedName name="EBITDA_Haircut">Inputs!$D$32</definedName>
    <definedName name="Equity_Risk_Premium">WACC!$D$18</definedName>
    <definedName name="Exit_Cost_Pct">Inputs!$D$20</definedName>
    <definedName name="Exit_Multiple">Inputs!$D$45</definedName>
    <definedName name="Fee_Amort_Years">Inputs!$D$14</definedName>
    <definedName name="Fin_Fee_Pct">Inputs!$D$13</definedName>
    <definedName name="Growth_Shift">Inputs!$D$30</definedName>
    <definedName name="Holding_Years">Inputs!$D$19</definedName>
    <definedName name="Hurdle_IRR">Inputs!$D$22</definedName>
    <definedName name="Kd_Pre_Tax">WACC!$D$21</definedName>
    <definedName name="Leverage_Scale">Inputs!$D$17</definedName>
    <definedName name="MIP_Pct">Inputs!$D$21</definedName>
    <definedName name="Margin_Shift">Inputs!$D$31</definedName>
    <definedName name="Mid_Year">DCF!$D$8</definedName>
    <definedName name="Min_Cash">Inputs!$D$15</definedName>
    <definedName name="Min_DSCR">Inputs!$D$39</definedName>
    <definedName name="Min_ICR">Inputs!$D$38</definedName>
    <definedName name="Offer_Premium">Inputs!$D$10</definedName>
    <definedName name="Rev_Commitment">Inputs!$D$35</definedName>
    <definedName name="Rev_Rate">Inputs!$D$36</definedName>
    <definedName name="Rev_Undrawn_Fee">Inputs!$D$37</definedName>
    <definedName name="Risk_Free">WACC!$D$17</definedName>
    <definedName name="Rollover_Pct">Inputs!$D$16</definedName>
    <definedName name="Size_Premium">WACC!$D$19</definedName>
    <definedName name="Sweep_Pct">Inputs!$D$18</definedName>
    <definedName name="Target_DC">WACC!$D$14</definedName>
    <definedName name="Target_MOIC">Inputs!$D$23</definedName>
    <definedName name="Tax_Rate">Inputs!$D$26</definedName>
    <definedName name="Terminal_Growth">DCF!$D$6</definedName>
    <definedName name="Txn_Fee_Pct">Inputs!$D$12</definedName>
    <definedName name="Unaffected_Price">Inputs!$D$9</definedName>
    <definedName name="WACC_Rate">WACC!$D$23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"/>
    <numFmt numFmtId="165" formatCode="&quot;₹&quot;#,##0.00_);(&quot;₹&quot;#,##0.00);&quot;–&quot;_)"/>
    <numFmt numFmtId="166" formatCode="0.0%_);(0.0%);&quot;–&quot;_)"/>
    <numFmt numFmtId="167" formatCode="#,##0.00_);(#,##0.00);&quot;–&quot;_)"/>
    <numFmt numFmtId="168" formatCode="0.00%_);(0.00%);&quot;–&quot;_)"/>
    <numFmt numFmtId="169" formatCode="#,##0.0_);(#,##0.0);&quot;–&quot;_)"/>
    <numFmt numFmtId="170" formatCode="0.00&quot;x&quot;_);(0.00&quot;x&quot;);&quot;–&quot;_)"/>
    <numFmt numFmtId="171" formatCode="0.0&quot;x&quot;_);(0.0&quot;x&quot;);&quot;–&quot;_)"/>
    <numFmt numFmtId="172" formatCode="#,##0_);(#,##0);&quot;–&quot;_)"/>
  </numFmts>
  <fonts count="11"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i/>
      <sz val="9"/>
      <color rgb="FF7F7F7F"/>
      <name val="Calibri"/>
      <family val="2"/>
    </font>
    <font>
      <b/>
      <sz val="11"/>
      <color rgb="FF1F3864"/>
      <name val="Calibri"/>
      <family val="2"/>
    </font>
    <font>
      <b/>
      <sz val="10"/>
      <color rgb="FFC00000"/>
      <name val="Calibri"/>
      <family val="2"/>
    </font>
    <font>
      <b/>
      <sz val="10"/>
      <color rgb="FF00703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0" borderId="0" xfId="0" applyNumberFormat="1" applyFont="1" applyFill="1" applyBorder="1"/>
    <xf numFmtId="0" fontId="9" fillId="0" borderId="0" xfId="0" applyNumberFormat="1" applyFont="1" applyFill="1" applyBorder="1"/>
    <xf numFmtId="0" fontId="8" fillId="0" borderId="0" xfId="0" applyNumberFormat="1" applyFont="1" applyFill="1" applyBorder="1"/>
    <xf numFmtId="164" fontId="1" fillId="2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165" fontId="1" fillId="2" borderId="0" xfId="0" applyNumberFormat="1" applyFont="1" applyFill="1" applyBorder="1"/>
    <xf numFmtId="166" fontId="1" fillId="2" borderId="0" xfId="0" applyNumberFormat="1" applyFont="1" applyFill="1" applyBorder="1"/>
    <xf numFmtId="167" fontId="1" fillId="2" borderId="0" xfId="0" applyNumberFormat="1" applyFont="1" applyFill="1" applyBorder="1"/>
    <xf numFmtId="168" fontId="1" fillId="2" borderId="0" xfId="0" applyNumberFormat="1" applyFont="1" applyFill="1" applyBorder="1"/>
    <xf numFmtId="169" fontId="1" fillId="2" borderId="0" xfId="0" applyNumberFormat="1" applyFont="1" applyFill="1" applyBorder="1"/>
    <xf numFmtId="170" fontId="1" fillId="2" borderId="0" xfId="0" applyNumberFormat="1" applyFont="1" applyFill="1" applyBorder="1"/>
    <xf numFmtId="171" fontId="1" fillId="2" borderId="0" xfId="0" applyNumberFormat="1" applyFont="1" applyFill="1" applyBorder="1"/>
    <xf numFmtId="0" fontId="3" fillId="0" borderId="0" xfId="0" applyNumberFormat="1" applyFont="1" applyFill="1" applyBorder="1"/>
    <xf numFmtId="171" fontId="3" fillId="0" borderId="3" xfId="0" applyNumberFormat="1" applyFont="1" applyFill="1" applyBorder="1"/>
    <xf numFmtId="0" fontId="4" fillId="3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/>
    <xf numFmtId="0" fontId="0" fillId="0" borderId="0" xfId="0" applyNumberFormat="1" applyFont="1" applyFill="1" applyBorder="1" applyAlignment="1">
      <alignment indent="1"/>
    </xf>
    <xf numFmtId="166" fontId="3" fillId="0" borderId="3" xfId="0" applyNumberFormat="1" applyFont="1" applyFill="1" applyBorder="1"/>
    <xf numFmtId="169" fontId="3" fillId="0" borderId="3" xfId="0" applyNumberFormat="1" applyFont="1" applyFill="1" applyBorder="1"/>
    <xf numFmtId="166" fontId="0" fillId="0" borderId="0" xfId="0" applyNumberFormat="1" applyFont="1" applyFill="1" applyBorder="1"/>
    <xf numFmtId="169" fontId="0" fillId="0" borderId="0" xfId="0" applyNumberFormat="1" applyFont="1" applyFill="1" applyBorder="1"/>
    <xf numFmtId="169" fontId="3" fillId="5" borderId="1" xfId="0" applyNumberFormat="1" applyFont="1" applyFill="1" applyBorder="1"/>
    <xf numFmtId="169" fontId="2" fillId="0" borderId="0" xfId="0" applyNumberFormat="1" applyFont="1" applyFill="1" applyBorder="1"/>
    <xf numFmtId="0" fontId="7" fillId="0" borderId="0" xfId="0" applyNumberFormat="1" applyFont="1" applyFill="1" applyBorder="1"/>
    <xf numFmtId="165" fontId="3" fillId="0" borderId="3" xfId="0" applyNumberFormat="1" applyFont="1" applyFill="1" applyBorder="1"/>
    <xf numFmtId="171" fontId="3" fillId="5" borderId="1" xfId="0" applyNumberFormat="1" applyFont="1" applyFill="1" applyBorder="1"/>
    <xf numFmtId="171" fontId="0" fillId="0" borderId="0" xfId="0" applyNumberFormat="1" applyFont="1" applyFill="1" applyBorder="1"/>
    <xf numFmtId="171" fontId="2" fillId="0" borderId="0" xfId="0" applyNumberFormat="1" applyFont="1" applyFill="1" applyBorder="1"/>
    <xf numFmtId="170" fontId="3" fillId="5" borderId="1" xfId="0" applyNumberFormat="1" applyFont="1" applyFill="1" applyBorder="1"/>
    <xf numFmtId="166" fontId="3" fillId="5" borderId="1" xfId="0" applyNumberFormat="1" applyFont="1" applyFill="1" applyBorder="1"/>
    <xf numFmtId="170" fontId="0" fillId="0" borderId="0" xfId="0" applyNumberFormat="1" applyFont="1" applyFill="1" applyBorder="1"/>
    <xf numFmtId="170" fontId="2" fillId="0" borderId="0" xfId="0" applyNumberFormat="1" applyFont="1" applyFill="1" applyBorder="1"/>
    <xf numFmtId="164" fontId="3" fillId="0" borderId="3" xfId="0" applyNumberFormat="1" applyFont="1" applyFill="1" applyBorder="1"/>
    <xf numFmtId="167" fontId="0" fillId="0" borderId="0" xfId="0" applyNumberFormat="1" applyFont="1" applyFill="1" applyBorder="1"/>
    <xf numFmtId="168" fontId="3" fillId="0" borderId="3" xfId="0" applyNumberFormat="1" applyFont="1" applyFill="1" applyBorder="1"/>
    <xf numFmtId="168" fontId="0" fillId="0" borderId="0" xfId="0" applyNumberFormat="1" applyFont="1" applyFill="1" applyBorder="1"/>
    <xf numFmtId="168" fontId="3" fillId="5" borderId="1" xfId="0" applyNumberFormat="1" applyFont="1" applyFill="1" applyBorder="1"/>
    <xf numFmtId="165" fontId="3" fillId="5" borderId="1" xfId="0" applyNumberFormat="1" applyFont="1" applyFill="1" applyBorder="1"/>
    <xf numFmtId="172" fontId="1" fillId="2" borderId="0" xfId="0" applyNumberFormat="1" applyFont="1" applyFill="1" applyBorder="1"/>
    <xf numFmtId="172" fontId="0" fillId="0" borderId="0" xfId="0" applyNumberFormat="1" applyFont="1" applyFill="1" applyBorder="1"/>
    <xf numFmtId="170" fontId="3" fillId="0" borderId="3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right"/>
    </xf>
    <xf numFmtId="171" fontId="4" fillId="3" borderId="0" xfId="0" applyNumberFormat="1" applyFont="1" applyFill="1" applyBorder="1" applyAlignment="1">
      <alignment horizontal="right"/>
    </xf>
    <xf numFmtId="171" fontId="3" fillId="0" borderId="0" xfId="0" applyNumberFormat="1" applyFont="1" applyFill="1" applyBorder="1"/>
    <xf numFmtId="166" fontId="4" fillId="3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/>
    <xf numFmtId="168" fontId="4" fillId="3" borderId="0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4" fontId="0" fillId="0" borderId="0" xfId="0" applyNumberFormat="1" applyFont="1" applyFill="1" applyBorder="1"/>
    <xf numFmtId="0" fontId="3" fillId="5" borderId="1" xfId="0" applyNumberFormat="1" applyFont="1" applyFill="1" applyBorder="1"/>
    <xf numFmtId="165" fontId="2" fillId="0" borderId="0" xfId="0" applyNumberFormat="1" applyFont="1" applyFill="1" applyBorder="1"/>
    <xf numFmtId="166" fontId="2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D25"/>
  <sheetViews>
    <sheetView showGridLines="0" tabSelected="1" zoomScale="90" workbookViewId="0"/>
  </sheetViews>
  <sheetFormatPr defaultRowHeight="13.8"/>
  <cols>
    <col min="1" max="1" width="2.5" customWidth="1"/>
    <col min="2" max="2" width="54" customWidth="1"/>
    <col min="3" max="3" width="11" customWidth="1"/>
    <col min="4" max="4" width="16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Project Saffron</t>
        </is>
      </c>
    </row>
    <row r="3">
      <c r="B3" s="2" t="inlineStr">
        <is>
          <t xml:space="preserve">Saffron Consumer Brands Ltd | LBO, DCF and valuation model | INR crore, fiscal years ending March</t>
        </is>
      </c>
    </row>
    <row r="4">
      <c r="B4" s="3" t="inlineStr">
        <is>
          <t xml:space="preserve">ILLUSTRATIVE CASE: fictional company and invented figures, built to show the method.</t>
        </is>
      </c>
    </row>
    <row r="6">
      <c r="B6" s="4" t="inlineStr">
        <is>
          <t xml:space="preserve">Headline outputs (live: follow the case selector on Inputs)</t>
        </is>
      </c>
    </row>
    <row r="7">
      <c r="B7" t="inlineStr">
        <is>
          <t xml:space="preserve">Live case</t>
        </is>
      </c>
      <c r="D7" t="str">
        <f>CHOOSE(Case,"Base","Upside","Downside")</f>
        <v>Base</v>
      </c>
    </row>
    <row r="8">
      <c r="B8" t="inlineStr">
        <is>
          <t xml:space="preserve">Offer price per share</t>
        </is>
      </c>
      <c r="D8" s="53">
        <f>Deal!$D$6</f>
        <v>475</v>
      </c>
    </row>
    <row r="9">
      <c r="B9" t="inlineStr">
        <is>
          <t xml:space="preserve">Premium to unaffected price</t>
        </is>
      </c>
      <c r="D9" s="54">
        <f>Offer_Premium</f>
        <v>0.25</v>
      </c>
    </row>
    <row r="10">
      <c r="B10" t="inlineStr">
        <is>
          <t xml:space="preserve">Entry EV / LTM EBITDA</t>
        </is>
      </c>
      <c r="D10" s="29">
        <f>Deal!$D$12</f>
        <v>13.823529411764707</v>
      </c>
    </row>
    <row r="11">
      <c r="B11" t="inlineStr">
        <is>
          <t xml:space="preserve">Total debt / LTM EBITDA</t>
        </is>
      </c>
      <c r="D11" s="29">
        <f>Deal!$D$18</f>
        <v>4</v>
      </c>
    </row>
    <row r="12">
      <c r="B12" t="inlineStr">
        <is>
          <t xml:space="preserve">Sponsor equity</t>
        </is>
      </c>
      <c r="D12" s="24">
        <f>Deal!$D$36</f>
        <v>3655.2400000000007</v>
      </c>
    </row>
    <row r="13">
      <c r="B13" s="14" t="inlineStr">
        <is>
          <t xml:space="preserve">Sponsor IRR</t>
        </is>
      </c>
      <c r="D13" s="31">
        <f>Returns!$D$20</f>
        <v>0.20222861840833073</v>
      </c>
    </row>
    <row r="14">
      <c r="B14" s="14" t="inlineStr">
        <is>
          <t xml:space="preserve">Sponsor MOIC</t>
        </is>
      </c>
      <c r="D14" s="30">
        <f>Returns!$D$16</f>
        <v>2.5115123004659283</v>
      </c>
    </row>
    <row r="15">
      <c r="B15" t="inlineStr">
        <is>
          <t xml:space="preserve">DCF value per share (Gordon growth)</t>
        </is>
      </c>
      <c r="D15" s="53">
        <f>DCF!$D$31</f>
        <v>431.21641698715575</v>
      </c>
    </row>
    <row r="16">
      <c r="B16" t="inlineStr">
        <is>
          <t xml:space="preserve">WACC</t>
        </is>
      </c>
      <c r="D16" s="54">
        <f>WACC_Rate</f>
        <v>0.13093135201500022</v>
      </c>
    </row>
    <row r="17">
      <c r="B17" s="14" t="inlineStr">
        <is>
          <t xml:space="preserve">Model integrity checks</t>
        </is>
      </c>
      <c r="D17" s="52" t="str">
        <f>Checks!$D$15</f>
        <v>ALL CHECKS PASS</v>
      </c>
    </row>
    <row r="19">
      <c r="B19" s="4" t="inlineStr">
        <is>
          <t xml:space="preserve">How to read this workbook</t>
        </is>
      </c>
    </row>
    <row r="20">
      <c r="B20" s="25" t="inlineStr">
        <is>
          <t xml:space="preserve">Blue cells on yellow are inputs. Black cells are formulas. Green cells link to another sheet.</t>
        </is>
      </c>
    </row>
    <row r="21">
      <c r="B21" s="25" t="inlineStr">
        <is>
          <t xml:space="preserve">Every formula traces back to Inputs. Change the case selector (1 Base, 2 Upside, 3 Downside) or the shifts on Inputs and the whole model updates.</t>
        </is>
      </c>
    </row>
    <row r="22">
      <c r="B22" s="25" t="inlineStr">
        <is>
          <t xml:space="preserve">Interest accrues on opening balances, so the model has no circular reference.</t>
        </is>
      </c>
    </row>
    <row r="23">
      <c r="B23" s="25" t="inlineStr">
        <is>
          <t xml:space="preserve">Sensitivity and Football hold values computed by the STOCKEX engine; they do not update live.</t>
        </is>
      </c>
    </row>
    <row r="24">
      <c r="B24" s="25" t="inlineStr">
        <is>
          <t xml:space="preserve">Sheets: Inputs, IS, BS, CF, Debt, Deal (sources and uses), Returns (exit, bridge, covenants), WACC, DCF, Comps, Sensitivity, Football, Checks.</t>
        </is>
      </c>
    </row>
    <row r="25">
      <c r="B25" s="25" t="inlineStr">
        <is>
          <t xml:space="preserve">The STOCKEX test suite recomputes every formula in this file from the inputs and requires it to match the Python engine.</t>
        </is>
      </c>
    </row>
  </sheetData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3864"/>
  </sheetPr>
  <dimension ref="A1:K116"/>
  <sheetViews>
    <sheetView showGridLines="0" zoomScale="9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Inputs</t>
        </is>
      </c>
    </row>
    <row r="3">
      <c r="B3" s="2" t="inlineStr">
        <is>
          <t xml:space="preserve">Every blue cell drives the model. Scenario blocks feed the live rows via the selector.</t>
        </is>
      </c>
    </row>
    <row r="5">
      <c r="B5" s="4" t="inlineStr">
        <is>
          <t xml:space="preserve">Case selector</t>
        </is>
      </c>
    </row>
    <row r="6">
      <c r="B6" t="inlineStr">
        <is>
          <t xml:space="preserve">Live case (1 Base, 2 Upside, 3 Downside)</t>
        </is>
      </c>
      <c r="D6" s="5">
        <v>1</v>
      </c>
    </row>
    <row r="8">
      <c r="B8" s="4" t="inlineStr">
        <is>
          <t xml:space="preserve">Transaction</t>
        </is>
      </c>
    </row>
    <row r="9">
      <c r="B9" t="inlineStr">
        <is>
          <t xml:space="preserve">Unaffected share price</t>
        </is>
      </c>
      <c r="C9" s="6" t="inlineStr">
        <is>
          <t xml:space="preserve">₹</t>
        </is>
      </c>
      <c r="D9" s="7">
        <v>380</v>
      </c>
    </row>
    <row r="10">
      <c r="B10" t="inlineStr">
        <is>
          <t xml:space="preserve">Offer premium to unaffected</t>
        </is>
      </c>
      <c r="D10" s="8">
        <v>0.25</v>
      </c>
    </row>
    <row r="11">
      <c r="B11" t="inlineStr">
        <is>
          <t xml:space="preserve">Diluted shares</t>
        </is>
      </c>
      <c r="C11" s="6" t="inlineStr">
        <is>
          <t xml:space="preserve">crore shares</t>
        </is>
      </c>
      <c r="D11" s="9">
        <v>12</v>
      </c>
    </row>
    <row r="12">
      <c r="B12" t="inlineStr">
        <is>
          <t xml:space="preserve">Transaction fees (% of entry EV)</t>
        </is>
      </c>
      <c r="D12" s="10">
        <v>0.015</v>
      </c>
    </row>
    <row r="13">
      <c r="B13" t="inlineStr">
        <is>
          <t xml:space="preserve">Financing fees (% of debt raised)</t>
        </is>
      </c>
      <c r="D13" s="10">
        <v>0.02</v>
      </c>
    </row>
    <row r="14">
      <c r="B14" t="inlineStr">
        <is>
          <t xml:space="preserve">Financing fee amortisation period</t>
        </is>
      </c>
      <c r="C14" s="6" t="inlineStr">
        <is>
          <t xml:space="preserve">years</t>
        </is>
      </c>
      <c r="D14" s="11">
        <v>5</v>
      </c>
    </row>
    <row r="15">
      <c r="B15" t="inlineStr">
        <is>
          <t xml:space="preserve">Minimum operating cash</t>
        </is>
      </c>
      <c r="D15" s="11">
        <v>100</v>
      </c>
    </row>
    <row r="16">
      <c r="B16" t="inlineStr">
        <is>
          <t xml:space="preserve">Promoter / management rollover (% of equity purchase)</t>
        </is>
      </c>
      <c r="D16" s="8">
        <v>0.1</v>
      </c>
    </row>
    <row r="17">
      <c r="B17" t="inlineStr">
        <is>
          <t xml:space="preserve">Leverage scale (1.0 = tranche multiples below)</t>
        </is>
      </c>
      <c r="C17" s="6" t="inlineStr">
        <is>
          <t xml:space="preserve">x</t>
        </is>
      </c>
      <c r="D17" s="9">
        <v>1</v>
      </c>
    </row>
    <row r="18">
      <c r="B18" t="inlineStr">
        <is>
          <t xml:space="preserve">Excess cash swept to sweepable debt</t>
        </is>
      </c>
      <c r="D18" s="8">
        <v>1</v>
      </c>
    </row>
    <row r="19">
      <c r="B19" t="inlineStr">
        <is>
          <t xml:space="preserve">Holding period</t>
        </is>
      </c>
      <c r="C19" s="6" t="inlineStr">
        <is>
          <t xml:space="preserve">years</t>
        </is>
      </c>
      <c r="D19" s="5">
        <v>5</v>
      </c>
    </row>
    <row r="20">
      <c r="B20" t="inlineStr">
        <is>
          <t xml:space="preserve">Exit costs (% of exit EV)</t>
        </is>
      </c>
      <c r="D20" s="10">
        <v>0.01</v>
      </c>
    </row>
    <row r="21">
      <c r="B21" t="inlineStr">
        <is>
          <t xml:space="preserve">Management incentive pool (% of equity gain)</t>
        </is>
      </c>
      <c r="D21" s="8">
        <v>0.075</v>
      </c>
    </row>
    <row r="22">
      <c r="B22" t="inlineStr">
        <is>
          <t xml:space="preserve">Sponsor hurdle IRR</t>
        </is>
      </c>
      <c r="D22" s="8">
        <v>0.2</v>
      </c>
    </row>
    <row r="23">
      <c r="B23" t="inlineStr">
        <is>
          <t xml:space="preserve">Sponsor target MOIC</t>
        </is>
      </c>
      <c r="D23" s="12">
        <v>2.5</v>
      </c>
    </row>
    <row r="25">
      <c r="B25" s="4" t="inlineStr">
        <is>
          <t xml:space="preserve">Operating, tax and sensitivity shifts</t>
        </is>
      </c>
    </row>
    <row r="26">
      <c r="B26" t="inlineStr">
        <is>
          <t xml:space="preserve">Corporate tax rate (s.115BAA: 22% + 10% surcharge + 4% cess)</t>
        </is>
      </c>
      <c r="D26" s="10">
        <v>0.2517</v>
      </c>
    </row>
    <row r="27">
      <c r="B27" t="inlineStr">
        <is>
          <t xml:space="preserve">Interest earned on cash</t>
        </is>
      </c>
      <c r="D27" s="10">
        <v>0.06</v>
      </c>
    </row>
    <row r="28">
      <c r="B28" t="inlineStr">
        <is>
          <t xml:space="preserve">Interest cap (% of tax EBITDA), s.94B</t>
        </is>
      </c>
      <c r="D28" s="8">
        <v>0.3</v>
      </c>
    </row>
    <row r="29">
      <c r="B29" t="inlineStr">
        <is>
          <t xml:space="preserve">Interest cap threshold (caught interest)</t>
        </is>
      </c>
      <c r="D29" s="11">
        <v>1</v>
      </c>
    </row>
    <row r="30">
      <c r="B30" t="inlineStr">
        <is>
          <t xml:space="preserve">Revenue growth shift (added every year)</t>
        </is>
      </c>
      <c r="D30" s="8">
        <v>0</v>
      </c>
    </row>
    <row r="31">
      <c r="B31" t="inlineStr">
        <is>
          <t xml:space="preserve">Gross / EBITDA margin shift (added every year)</t>
        </is>
      </c>
      <c r="D31" s="8">
        <v>0</v>
      </c>
    </row>
    <row r="32">
      <c r="B32" t="inlineStr">
        <is>
          <t xml:space="preserve">EBITDA haircut (proportional)</t>
        </is>
      </c>
      <c r="D32" s="8">
        <v>0</v>
      </c>
    </row>
    <row r="34">
      <c r="B34" s="4" t="inlineStr">
        <is>
          <t xml:space="preserve">Revolver and covenants</t>
        </is>
      </c>
    </row>
    <row r="35">
      <c r="B35" t="inlineStr">
        <is>
          <t xml:space="preserve">Revolver commitment</t>
        </is>
      </c>
      <c r="D35" s="11">
        <v>150</v>
      </c>
    </row>
    <row r="36">
      <c r="B36" t="inlineStr">
        <is>
          <t xml:space="preserve">Revolver cash rate</t>
        </is>
      </c>
      <c r="D36" s="10">
        <v>0.09</v>
      </c>
    </row>
    <row r="37">
      <c r="B37" t="inlineStr">
        <is>
          <t xml:space="preserve">Revolver undrawn fee</t>
        </is>
      </c>
      <c r="D37" s="10">
        <v>0.0035</v>
      </c>
    </row>
    <row r="38">
      <c r="B38" t="inlineStr">
        <is>
          <t xml:space="preserve">Minimum interest cover (EBITDA / cash interest)</t>
        </is>
      </c>
      <c r="D38" s="12">
        <v>2.25</v>
      </c>
    </row>
    <row r="39">
      <c r="B39" t="inlineStr">
        <is>
          <t xml:space="preserve">Minimum DSCR ((EBITDA - capex - tax) / debt service)</t>
        </is>
      </c>
      <c r="D39" s="12">
        <v>1.15</v>
      </c>
    </row>
    <row r="41">
      <c r="B41" s="4" t="inlineStr">
        <is>
          <t xml:space="preserve">Exit multiple (EV / EBITDA)</t>
        </is>
      </c>
    </row>
    <row r="42">
      <c r="B42" t="inlineStr">
        <is>
          <t xml:space="preserve">Base case</t>
        </is>
      </c>
      <c r="D42" s="13">
        <v>13.5</v>
      </c>
    </row>
    <row r="43">
      <c r="B43" t="inlineStr">
        <is>
          <t xml:space="preserve">Upside case</t>
        </is>
      </c>
      <c r="D43" s="13">
        <v>15.5</v>
      </c>
    </row>
    <row r="44">
      <c r="B44" t="inlineStr">
        <is>
          <t xml:space="preserve">Downside case</t>
        </is>
      </c>
      <c r="D44" s="13">
        <v>10.5</v>
      </c>
    </row>
    <row r="45">
      <c r="B45" s="14" t="inlineStr">
        <is>
          <t xml:space="preserve">Live exit multiple</t>
        </is>
      </c>
      <c r="D45" s="15">
        <f>CHOOSE(Case,$D$42,$D$43,$D$44)</f>
        <v>13.5</v>
      </c>
    </row>
    <row r="47">
      <c r="B47" s="17" t="inlineStr">
        <is>
          <t xml:space="preserve">Operating drivers by case</t>
        </is>
      </c>
      <c r="C47" s="16" t="inlineStr">
        <is>
          <t xml:space="preserve">INR crore</t>
        </is>
      </c>
      <c r="D47" s="16"/>
      <c r="E47" s="16"/>
      <c r="F47" s="16"/>
      <c r="G47" s="16" t="inlineStr">
        <is>
          <t xml:space="preserve">FY27E</t>
        </is>
      </c>
      <c r="H47" s="16" t="inlineStr">
        <is>
          <t xml:space="preserve">FY28E</t>
        </is>
      </c>
      <c r="I47" s="16" t="inlineStr">
        <is>
          <t xml:space="preserve">FY29E</t>
        </is>
      </c>
      <c r="J47" s="16" t="inlineStr">
        <is>
          <t xml:space="preserve">FY30E</t>
        </is>
      </c>
      <c r="K47" s="16" t="inlineStr">
        <is>
          <t xml:space="preserve">FY31E</t>
        </is>
      </c>
    </row>
    <row r="49">
      <c r="B49" s="4" t="inlineStr">
        <is>
          <t xml:space="preserve">Revenue growth</t>
        </is>
      </c>
    </row>
    <row r="50">
      <c r="B50" s="18" t="inlineStr">
        <is>
          <t xml:space="preserve">Base</t>
        </is>
      </c>
      <c r="G50" s="8">
        <v>0.13</v>
      </c>
      <c r="H50" s="8">
        <v>0.13</v>
      </c>
      <c r="I50" s="8">
        <v>0.125</v>
      </c>
      <c r="J50" s="8">
        <v>0.12</v>
      </c>
      <c r="K50" s="8">
        <v>0.115</v>
      </c>
    </row>
    <row r="51">
      <c r="B51" s="18" t="inlineStr">
        <is>
          <t xml:space="preserve">Upside</t>
        </is>
      </c>
      <c r="G51" s="8">
        <v>0.15</v>
      </c>
      <c r="H51" s="8">
        <v>0.155</v>
      </c>
      <c r="I51" s="8">
        <v>0.15</v>
      </c>
      <c r="J51" s="8">
        <v>0.14</v>
      </c>
      <c r="K51" s="8">
        <v>0.13</v>
      </c>
    </row>
    <row r="52">
      <c r="B52" s="18" t="inlineStr">
        <is>
          <t xml:space="preserve">Downside</t>
        </is>
      </c>
      <c r="G52" s="8">
        <v>0.07</v>
      </c>
      <c r="H52" s="8">
        <v>0.06</v>
      </c>
      <c r="I52" s="8">
        <v>0.06</v>
      </c>
      <c r="J52" s="8">
        <v>0.07</v>
      </c>
      <c r="K52" s="8">
        <v>0.08</v>
      </c>
    </row>
    <row r="53">
      <c r="B53" s="14" t="inlineStr">
        <is>
          <t xml:space="preserve">Live</t>
        </is>
      </c>
      <c r="G53" s="19">
        <f>CHOOSE(Case,G50,G51,G52)</f>
        <v>0.13</v>
      </c>
      <c r="H53" s="19">
        <f>CHOOSE(Case,H50,H51,H52)</f>
        <v>0.13</v>
      </c>
      <c r="I53" s="19">
        <f>CHOOSE(Case,I50,I51,I52)</f>
        <v>0.125</v>
      </c>
      <c r="J53" s="19">
        <f>CHOOSE(Case,J50,J51,J52)</f>
        <v>0.12</v>
      </c>
      <c r="K53" s="19">
        <f>CHOOSE(Case,K50,K51,K52)</f>
        <v>0.115</v>
      </c>
    </row>
    <row r="55">
      <c r="B55" s="4" t="inlineStr">
        <is>
          <t xml:space="preserve">Gross margin</t>
        </is>
      </c>
    </row>
    <row r="56">
      <c r="B56" s="18" t="inlineStr">
        <is>
          <t xml:space="preserve">Base</t>
        </is>
      </c>
      <c r="G56" s="8">
        <v>0.425</v>
      </c>
      <c r="H56" s="8">
        <v>0.43</v>
      </c>
      <c r="I56" s="8">
        <v>0.435</v>
      </c>
      <c r="J56" s="8">
        <v>0.44</v>
      </c>
      <c r="K56" s="8">
        <v>0.44</v>
      </c>
    </row>
    <row r="57">
      <c r="B57" s="18" t="inlineStr">
        <is>
          <t xml:space="preserve">Upside</t>
        </is>
      </c>
      <c r="G57" s="8">
        <v>0.43</v>
      </c>
      <c r="H57" s="8">
        <v>0.437</v>
      </c>
      <c r="I57" s="8">
        <v>0.443</v>
      </c>
      <c r="J57" s="8">
        <v>0.448</v>
      </c>
      <c r="K57" s="8">
        <v>0.45</v>
      </c>
    </row>
    <row r="58">
      <c r="B58" s="18" t="inlineStr">
        <is>
          <t xml:space="preserve">Downside</t>
        </is>
      </c>
      <c r="G58" s="8">
        <v>0.415</v>
      </c>
      <c r="H58" s="8">
        <v>0.415</v>
      </c>
      <c r="I58" s="8">
        <v>0.415</v>
      </c>
      <c r="J58" s="8">
        <v>0.415</v>
      </c>
      <c r="K58" s="8">
        <v>0.415</v>
      </c>
    </row>
    <row r="59">
      <c r="B59" s="14" t="inlineStr">
        <is>
          <t xml:space="preserve">Live</t>
        </is>
      </c>
      <c r="G59" s="19">
        <f>CHOOSE(Case,G56,G57,G58)</f>
        <v>0.425</v>
      </c>
      <c r="H59" s="19">
        <f>CHOOSE(Case,H56,H57,H58)</f>
        <v>0.43</v>
      </c>
      <c r="I59" s="19">
        <f>CHOOSE(Case,I56,I57,I58)</f>
        <v>0.435</v>
      </c>
      <c r="J59" s="19">
        <f>CHOOSE(Case,J56,J57,J58)</f>
        <v>0.44</v>
      </c>
      <c r="K59" s="19">
        <f>CHOOSE(Case,K56,K57,K58)</f>
        <v>0.44</v>
      </c>
    </row>
    <row r="61">
      <c r="B61" s="4" t="inlineStr">
        <is>
          <t xml:space="preserve">Operating expenses (ex D&amp;A) % of revenue</t>
        </is>
      </c>
    </row>
    <row r="62">
      <c r="B62" s="18" t="inlineStr">
        <is>
          <t xml:space="preserve">Base</t>
        </is>
      </c>
      <c r="G62" s="8">
        <v>0.25</v>
      </c>
      <c r="H62" s="8">
        <v>0.248</v>
      </c>
      <c r="I62" s="8">
        <v>0.245</v>
      </c>
      <c r="J62" s="8">
        <v>0.243</v>
      </c>
      <c r="K62" s="8">
        <v>0.24</v>
      </c>
    </row>
    <row r="63">
      <c r="B63" s="18" t="inlineStr">
        <is>
          <t xml:space="preserve">Upside</t>
        </is>
      </c>
      <c r="G63" s="8">
        <v>0.249</v>
      </c>
      <c r="H63" s="8">
        <v>0.246</v>
      </c>
      <c r="I63" s="8">
        <v>0.243</v>
      </c>
      <c r="J63" s="8">
        <v>0.24</v>
      </c>
      <c r="K63" s="8">
        <v>0.237</v>
      </c>
    </row>
    <row r="64">
      <c r="B64" s="18" t="inlineStr">
        <is>
          <t xml:space="preserve">Downside</t>
        </is>
      </c>
      <c r="G64" s="8">
        <v>0.255</v>
      </c>
      <c r="H64" s="8">
        <v>0.255</v>
      </c>
      <c r="I64" s="8">
        <v>0.255</v>
      </c>
      <c r="J64" s="8">
        <v>0.255</v>
      </c>
      <c r="K64" s="8">
        <v>0.255</v>
      </c>
    </row>
    <row r="65">
      <c r="B65" s="14" t="inlineStr">
        <is>
          <t xml:space="preserve">Live</t>
        </is>
      </c>
      <c r="G65" s="19">
        <f>CHOOSE(Case,G62,G63,G64)</f>
        <v>0.25</v>
      </c>
      <c r="H65" s="19">
        <f>CHOOSE(Case,H62,H63,H64)</f>
        <v>0.248</v>
      </c>
      <c r="I65" s="19">
        <f>CHOOSE(Case,I62,I63,I64)</f>
        <v>0.245</v>
      </c>
      <c r="J65" s="19">
        <f>CHOOSE(Case,J62,J63,J64)</f>
        <v>0.243</v>
      </c>
      <c r="K65" s="19">
        <f>CHOOSE(Case,K62,K63,K64)</f>
        <v>0.24</v>
      </c>
    </row>
    <row r="67">
      <c r="B67" s="4" t="inlineStr">
        <is>
          <t xml:space="preserve">D&amp;A % of revenue</t>
        </is>
      </c>
    </row>
    <row r="68">
      <c r="B68" s="18" t="inlineStr">
        <is>
          <t xml:space="preserve">Base</t>
        </is>
      </c>
      <c r="G68" s="8">
        <v>0.025</v>
      </c>
      <c r="H68" s="8">
        <v>0.025</v>
      </c>
      <c r="I68" s="8">
        <v>0.025</v>
      </c>
      <c r="J68" s="8">
        <v>0.025</v>
      </c>
      <c r="K68" s="8">
        <v>0.025</v>
      </c>
    </row>
    <row r="69">
      <c r="B69" s="18" t="inlineStr">
        <is>
          <t xml:space="preserve">Upside</t>
        </is>
      </c>
      <c r="G69" s="8">
        <v>0.025</v>
      </c>
      <c r="H69" s="8">
        <v>0.025</v>
      </c>
      <c r="I69" s="8">
        <v>0.025</v>
      </c>
      <c r="J69" s="8">
        <v>0.025</v>
      </c>
      <c r="K69" s="8">
        <v>0.025</v>
      </c>
    </row>
    <row r="70">
      <c r="B70" s="18" t="inlineStr">
        <is>
          <t xml:space="preserve">Downside</t>
        </is>
      </c>
      <c r="G70" s="8">
        <v>0.025</v>
      </c>
      <c r="H70" s="8">
        <v>0.025</v>
      </c>
      <c r="I70" s="8">
        <v>0.025</v>
      </c>
      <c r="J70" s="8">
        <v>0.025</v>
      </c>
      <c r="K70" s="8">
        <v>0.025</v>
      </c>
    </row>
    <row r="71">
      <c r="B71" s="14" t="inlineStr">
        <is>
          <t xml:space="preserve">Live</t>
        </is>
      </c>
      <c r="G71" s="19">
        <f>CHOOSE(Case,G68,G69,G70)</f>
        <v>0.025</v>
      </c>
      <c r="H71" s="19">
        <f>CHOOSE(Case,H68,H69,H70)</f>
        <v>0.025</v>
      </c>
      <c r="I71" s="19">
        <f>CHOOSE(Case,I68,I69,I70)</f>
        <v>0.025</v>
      </c>
      <c r="J71" s="19">
        <f>CHOOSE(Case,J68,J69,J70)</f>
        <v>0.025</v>
      </c>
      <c r="K71" s="19">
        <f>CHOOSE(Case,K68,K69,K70)</f>
        <v>0.025</v>
      </c>
    </row>
    <row r="73">
      <c r="B73" s="4" t="inlineStr">
        <is>
          <t xml:space="preserve">Capex % of revenue</t>
        </is>
      </c>
    </row>
    <row r="74">
      <c r="B74" s="18" t="inlineStr">
        <is>
          <t xml:space="preserve">Base</t>
        </is>
      </c>
      <c r="G74" s="8">
        <v>0.04</v>
      </c>
      <c r="H74" s="8">
        <v>0.038</v>
      </c>
      <c r="I74" s="8">
        <v>0.035</v>
      </c>
      <c r="J74" s="8">
        <v>0.035</v>
      </c>
      <c r="K74" s="8">
        <v>0.035</v>
      </c>
    </row>
    <row r="75">
      <c r="B75" s="18" t="inlineStr">
        <is>
          <t xml:space="preserve">Upside</t>
        </is>
      </c>
      <c r="G75" s="8">
        <v>0.04</v>
      </c>
      <c r="H75" s="8">
        <v>0.038</v>
      </c>
      <c r="I75" s="8">
        <v>0.035</v>
      </c>
      <c r="J75" s="8">
        <v>0.035</v>
      </c>
      <c r="K75" s="8">
        <v>0.035</v>
      </c>
    </row>
    <row r="76">
      <c r="B76" s="18" t="inlineStr">
        <is>
          <t xml:space="preserve">Downside</t>
        </is>
      </c>
      <c r="G76" s="8">
        <v>0.04</v>
      </c>
      <c r="H76" s="8">
        <v>0.038</v>
      </c>
      <c r="I76" s="8">
        <v>0.035</v>
      </c>
      <c r="J76" s="8">
        <v>0.035</v>
      </c>
      <c r="K76" s="8">
        <v>0.035</v>
      </c>
    </row>
    <row r="77">
      <c r="B77" s="14" t="inlineStr">
        <is>
          <t xml:space="preserve">Live</t>
        </is>
      </c>
      <c r="G77" s="19">
        <f>CHOOSE(Case,G74,G75,G76)</f>
        <v>0.04</v>
      </c>
      <c r="H77" s="19">
        <f>CHOOSE(Case,H74,H75,H76)</f>
        <v>0.038</v>
      </c>
      <c r="I77" s="19">
        <f>CHOOSE(Case,I74,I75,I76)</f>
        <v>0.035</v>
      </c>
      <c r="J77" s="19">
        <f>CHOOSE(Case,J74,J75,J76)</f>
        <v>0.035</v>
      </c>
      <c r="K77" s="19">
        <f>CHOOSE(Case,K74,K75,K76)</f>
        <v>0.035</v>
      </c>
    </row>
    <row r="79">
      <c r="B79" s="4" t="inlineStr">
        <is>
          <t xml:space="preserve">Receivable days (on revenue)</t>
        </is>
      </c>
    </row>
    <row r="80">
      <c r="B80" s="18" t="inlineStr">
        <is>
          <t xml:space="preserve">Base</t>
        </is>
      </c>
      <c r="G80" s="11">
        <v>30</v>
      </c>
      <c r="H80" s="11">
        <v>30</v>
      </c>
      <c r="I80" s="11">
        <v>30</v>
      </c>
      <c r="J80" s="11">
        <v>30</v>
      </c>
      <c r="K80" s="11">
        <v>30</v>
      </c>
    </row>
    <row r="81">
      <c r="B81" s="18" t="inlineStr">
        <is>
          <t xml:space="preserve">Upside</t>
        </is>
      </c>
      <c r="G81" s="11">
        <v>30</v>
      </c>
      <c r="H81" s="11">
        <v>30</v>
      </c>
      <c r="I81" s="11">
        <v>30</v>
      </c>
      <c r="J81" s="11">
        <v>30</v>
      </c>
      <c r="K81" s="11">
        <v>30</v>
      </c>
    </row>
    <row r="82">
      <c r="B82" s="18" t="inlineStr">
        <is>
          <t xml:space="preserve">Downside</t>
        </is>
      </c>
      <c r="G82" s="11">
        <v>30</v>
      </c>
      <c r="H82" s="11">
        <v>30</v>
      </c>
      <c r="I82" s="11">
        <v>30</v>
      </c>
      <c r="J82" s="11">
        <v>30</v>
      </c>
      <c r="K82" s="11">
        <v>30</v>
      </c>
    </row>
    <row r="83">
      <c r="B83" s="14" t="inlineStr">
        <is>
          <t xml:space="preserve">Live</t>
        </is>
      </c>
      <c r="G83" s="20">
        <f>CHOOSE(Case,G80,G81,G82)</f>
        <v>30</v>
      </c>
      <c r="H83" s="20">
        <f>CHOOSE(Case,H80,H81,H82)</f>
        <v>30</v>
      </c>
      <c r="I83" s="20">
        <f>CHOOSE(Case,I80,I81,I82)</f>
        <v>30</v>
      </c>
      <c r="J83" s="20">
        <f>CHOOSE(Case,J80,J81,J82)</f>
        <v>30</v>
      </c>
      <c r="K83" s="20">
        <f>CHOOSE(Case,K80,K81,K82)</f>
        <v>30</v>
      </c>
    </row>
    <row r="85">
      <c r="B85" s="4" t="inlineStr">
        <is>
          <t xml:space="preserve">Inventory days (on COGS)</t>
        </is>
      </c>
    </row>
    <row r="86">
      <c r="B86" s="18" t="inlineStr">
        <is>
          <t xml:space="preserve">Base</t>
        </is>
      </c>
      <c r="G86" s="11">
        <v>60</v>
      </c>
      <c r="H86" s="11">
        <v>60</v>
      </c>
      <c r="I86" s="11">
        <v>60</v>
      </c>
      <c r="J86" s="11">
        <v>60</v>
      </c>
      <c r="K86" s="11">
        <v>60</v>
      </c>
    </row>
    <row r="87">
      <c r="B87" s="18" t="inlineStr">
        <is>
          <t xml:space="preserve">Upside</t>
        </is>
      </c>
      <c r="G87" s="11">
        <v>60</v>
      </c>
      <c r="H87" s="11">
        <v>60</v>
      </c>
      <c r="I87" s="11">
        <v>60</v>
      </c>
      <c r="J87" s="11">
        <v>60</v>
      </c>
      <c r="K87" s="11">
        <v>60</v>
      </c>
    </row>
    <row r="88">
      <c r="B88" s="18" t="inlineStr">
        <is>
          <t xml:space="preserve">Downside</t>
        </is>
      </c>
      <c r="G88" s="11">
        <v>65</v>
      </c>
      <c r="H88" s="11">
        <v>65</v>
      </c>
      <c r="I88" s="11">
        <v>65</v>
      </c>
      <c r="J88" s="11">
        <v>65</v>
      </c>
      <c r="K88" s="11">
        <v>65</v>
      </c>
    </row>
    <row r="89">
      <c r="B89" s="14" t="inlineStr">
        <is>
          <t xml:space="preserve">Live</t>
        </is>
      </c>
      <c r="G89" s="20">
        <f>CHOOSE(Case,G86,G87,G88)</f>
        <v>60</v>
      </c>
      <c r="H89" s="20">
        <f>CHOOSE(Case,H86,H87,H88)</f>
        <v>60</v>
      </c>
      <c r="I89" s="20">
        <f>CHOOSE(Case,I86,I87,I88)</f>
        <v>60</v>
      </c>
      <c r="J89" s="20">
        <f>CHOOSE(Case,J86,J87,J88)</f>
        <v>60</v>
      </c>
      <c r="K89" s="20">
        <f>CHOOSE(Case,K86,K87,K88)</f>
        <v>60</v>
      </c>
    </row>
    <row r="91">
      <c r="B91" s="4" t="inlineStr">
        <is>
          <t xml:space="preserve">Payable days (on COGS)</t>
        </is>
      </c>
    </row>
    <row r="92">
      <c r="B92" s="18" t="inlineStr">
        <is>
          <t xml:space="preserve">Base</t>
        </is>
      </c>
      <c r="G92" s="11">
        <v>55</v>
      </c>
      <c r="H92" s="11">
        <v>55</v>
      </c>
      <c r="I92" s="11">
        <v>55</v>
      </c>
      <c r="J92" s="11">
        <v>55</v>
      </c>
      <c r="K92" s="11">
        <v>55</v>
      </c>
    </row>
    <row r="93">
      <c r="B93" s="18" t="inlineStr">
        <is>
          <t xml:space="preserve">Upside</t>
        </is>
      </c>
      <c r="G93" s="11">
        <v>55</v>
      </c>
      <c r="H93" s="11">
        <v>55</v>
      </c>
      <c r="I93" s="11">
        <v>55</v>
      </c>
      <c r="J93" s="11">
        <v>55</v>
      </c>
      <c r="K93" s="11">
        <v>55</v>
      </c>
    </row>
    <row r="94">
      <c r="B94" s="18" t="inlineStr">
        <is>
          <t xml:space="preserve">Downside</t>
        </is>
      </c>
      <c r="G94" s="11">
        <v>55</v>
      </c>
      <c r="H94" s="11">
        <v>55</v>
      </c>
      <c r="I94" s="11">
        <v>55</v>
      </c>
      <c r="J94" s="11">
        <v>55</v>
      </c>
      <c r="K94" s="11">
        <v>55</v>
      </c>
    </row>
    <row r="95">
      <c r="B95" s="14" t="inlineStr">
        <is>
          <t xml:space="preserve">Live</t>
        </is>
      </c>
      <c r="G95" s="20">
        <f>CHOOSE(Case,G92,G93,G94)</f>
        <v>55</v>
      </c>
      <c r="H95" s="20">
        <f>CHOOSE(Case,H92,H93,H94)</f>
        <v>55</v>
      </c>
      <c r="I95" s="20">
        <f>CHOOSE(Case,I92,I93,I94)</f>
        <v>55</v>
      </c>
      <c r="J95" s="20">
        <f>CHOOSE(Case,J92,J93,J94)</f>
        <v>55</v>
      </c>
      <c r="K95" s="20">
        <f>CHOOSE(Case,K92,K93,K94)</f>
        <v>55</v>
      </c>
    </row>
    <row r="97">
      <c r="B97" s="4" t="inlineStr">
        <is>
          <t xml:space="preserve">Maximum net leverage covenant</t>
        </is>
      </c>
    </row>
    <row r="98">
      <c r="B98" t="inlineStr">
        <is>
          <t xml:space="preserve">Net debt / EBITDA (maximum)</t>
        </is>
      </c>
      <c r="G98" s="12">
        <v>4</v>
      </c>
      <c r="H98" s="12">
        <v>3.5</v>
      </c>
      <c r="I98" s="12">
        <v>3</v>
      </c>
      <c r="J98" s="12">
        <v>2.75</v>
      </c>
      <c r="K98" s="12">
        <v>2.5</v>
      </c>
    </row>
    <row r="100">
      <c r="B100" s="17" t="inlineStr">
        <is>
          <t xml:space="preserve">Debt tranches (sized on LTM EBITDA at close)</t>
        </is>
      </c>
      <c r="C100" s="16" t="inlineStr">
        <is>
          <t xml:space="preserve">INR crore</t>
        </is>
      </c>
      <c r="D100" s="16"/>
      <c r="E100" s="16"/>
      <c r="F100" s="16"/>
      <c r="G100" s="16" t="inlineStr">
        <is>
          <t xml:space="preserve">FY27E</t>
        </is>
      </c>
      <c r="H100" s="16" t="inlineStr">
        <is>
          <t xml:space="preserve">FY28E</t>
        </is>
      </c>
      <c r="I100" s="16" t="inlineStr">
        <is>
          <t xml:space="preserve">FY29E</t>
        </is>
      </c>
      <c r="J100" s="16" t="inlineStr">
        <is>
          <t xml:space="preserve">FY30E</t>
        </is>
      </c>
      <c r="K100" s="16" t="inlineStr">
        <is>
          <t xml:space="preserve">FY31E</t>
        </is>
      </c>
    </row>
    <row r="102">
      <c r="B102" s="4" t="inlineStr">
        <is>
          <t xml:space="preserve">Tranche 1: OpCo senior term loan (amortizing)</t>
        </is>
      </c>
    </row>
    <row r="103">
      <c r="B103" t="inlineStr">
        <is>
          <t xml:space="preserve">Size (x LTM EBITDA)</t>
        </is>
      </c>
      <c r="D103" s="12">
        <v>1.5</v>
      </c>
    </row>
    <row r="104">
      <c r="B104" t="inlineStr">
        <is>
          <t xml:space="preserve">Cash coupon</t>
        </is>
      </c>
      <c r="D104" s="10">
        <v>0.0925</v>
      </c>
    </row>
    <row r="105">
      <c r="B105" t="inlineStr">
        <is>
          <t xml:space="preserve">PIK coupon (accretes to principal)</t>
        </is>
      </c>
      <c r="D105" s="10">
        <v>0</v>
      </c>
    </row>
    <row r="106">
      <c r="B106" t="inlineStr">
        <is>
          <t xml:space="preserve">Receives cash sweep (1 = yes)</t>
        </is>
      </c>
      <c r="D106" s="5">
        <v>1</v>
      </c>
    </row>
    <row r="107">
      <c r="B107" t="inlineStr">
        <is>
          <t xml:space="preserve">Interest caught by s.94B cap (1 = yes)</t>
        </is>
      </c>
      <c r="D107" s="5">
        <v>0</v>
      </c>
    </row>
    <row r="108">
      <c r="B108" t="inlineStr">
        <is>
          <t xml:space="preserve">Scheduled amortisation (% of original principal)</t>
        </is>
      </c>
      <c r="G108" s="8">
        <v>0.1</v>
      </c>
      <c r="H108" s="8">
        <v>0.1</v>
      </c>
      <c r="I108" s="8">
        <v>0.15</v>
      </c>
      <c r="J108" s="8">
        <v>0.15</v>
      </c>
      <c r="K108" s="8">
        <v>0.2</v>
      </c>
    </row>
    <row r="110">
      <c r="B110" s="4" t="inlineStr">
        <is>
          <t xml:space="preserve">Tranche 2: HoldCo NCDs (private credit) (bullet)</t>
        </is>
      </c>
    </row>
    <row r="111">
      <c r="B111" t="inlineStr">
        <is>
          <t xml:space="preserve">Size (x LTM EBITDA)</t>
        </is>
      </c>
      <c r="D111" s="12">
        <v>2.5</v>
      </c>
    </row>
    <row r="112">
      <c r="B112" t="inlineStr">
        <is>
          <t xml:space="preserve">Cash coupon</t>
        </is>
      </c>
      <c r="D112" s="10">
        <v>0.11</v>
      </c>
    </row>
    <row r="113">
      <c r="B113" t="inlineStr">
        <is>
          <t xml:space="preserve">PIK coupon (accretes to principal)</t>
        </is>
      </c>
      <c r="D113" s="10">
        <v>0.03</v>
      </c>
    </row>
    <row r="114">
      <c r="B114" t="inlineStr">
        <is>
          <t xml:space="preserve">Receives cash sweep (1 = yes)</t>
        </is>
      </c>
      <c r="D114" s="5">
        <v>0</v>
      </c>
    </row>
    <row r="115">
      <c r="B115" t="inlineStr">
        <is>
          <t xml:space="preserve">Interest caught by s.94B cap (1 = yes)</t>
        </is>
      </c>
      <c r="D115" s="5">
        <v>1</v>
      </c>
    </row>
    <row r="116">
      <c r="B116" t="inlineStr">
        <is>
          <t xml:space="preserve">Scheduled amortisation (% of original principal)</t>
        </is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864"/>
  </sheetPr>
  <dimension ref="A1:K36"/>
  <sheetViews>
    <sheetView showGridLines="0" zoomScale="90" workbookViewId="0">
      <pane xSplit="3" ySplit="5" topLeftCell="D6" activePane="bottomRight" state="frozen"/>
      <selection pane="bottomRight" activeCell="D6" sqref="D6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Income statement</t>
        </is>
      </c>
    </row>
    <row r="3">
      <c r="B3" s="2" t="inlineStr">
        <is>
          <t xml:space="preserve">Historical figures are inputs; projections follow the live case.</t>
        </is>
      </c>
    </row>
    <row r="5">
      <c r="B5" s="17" t="inlineStr">
        <is>
          <t xml:space="preserve">Income statement</t>
        </is>
      </c>
      <c r="C5" s="16" t="inlineStr">
        <is>
          <t xml:space="preserve">INR crore</t>
        </is>
      </c>
      <c r="D5" s="16" t="inlineStr">
        <is>
          <t xml:space="preserve">FY24A</t>
        </is>
      </c>
      <c r="E5" s="16" t="inlineStr">
        <is>
          <t xml:space="preserve">FY25A</t>
        </is>
      </c>
      <c r="F5" s="16" t="inlineStr">
        <is>
          <t xml:space="preserve">FY26A</t>
        </is>
      </c>
      <c r="G5" s="16" t="inlineStr">
        <is>
          <t xml:space="preserve">FY27E</t>
        </is>
      </c>
      <c r="H5" s="16" t="inlineStr">
        <is>
          <t xml:space="preserve">FY28E</t>
        </is>
      </c>
      <c r="I5" s="16" t="inlineStr">
        <is>
          <t xml:space="preserve">FY29E</t>
        </is>
      </c>
      <c r="J5" s="16" t="inlineStr">
        <is>
          <t xml:space="preserve">FY30E</t>
        </is>
      </c>
      <c r="K5" s="16" t="inlineStr">
        <is>
          <t xml:space="preserve">FY31E</t>
        </is>
      </c>
    </row>
    <row r="6">
      <c r="B6" s="14" t="inlineStr">
        <is>
          <t xml:space="preserve">Revenue</t>
        </is>
      </c>
      <c r="D6" s="11">
        <v>1920</v>
      </c>
      <c r="E6" s="11">
        <v>2150</v>
      </c>
      <c r="F6" s="11">
        <v>2400</v>
      </c>
      <c r="G6" s="20">
        <f>F6*(1+Inputs!G53+Growth_Shift)</f>
        <v>2711.9999999999995</v>
      </c>
      <c r="H6" s="20">
        <f>G6*(1+Inputs!H53+Growth_Shift)</f>
        <v>3064.559999999999</v>
      </c>
      <c r="I6" s="20">
        <f>H6*(1+Inputs!I53+Growth_Shift)</f>
        <v>3447.6299999999987</v>
      </c>
      <c r="J6" s="20">
        <f>I6*(1+Inputs!J53+Growth_Shift)</f>
        <v>3861.3455999999987</v>
      </c>
      <c r="K6" s="20">
        <f>J6*(1+Inputs!K53+Growth_Shift)</f>
        <v>4305.400343999999</v>
      </c>
    </row>
    <row r="7">
      <c r="B7" s="18" t="inlineStr">
        <is>
          <t xml:space="preserve">Growth</t>
        </is>
      </c>
      <c r="D7" s="21"/>
      <c r="E7" s="21">
        <f>E6/$D$6-1</f>
        <v>0.11979166666666674</v>
      </c>
      <c r="F7" s="21">
        <f>F6/E6-1</f>
        <v>0.11627906976744184</v>
      </c>
      <c r="G7" s="21">
        <f>G6/F6-1</f>
        <v>0.1299999999999999</v>
      </c>
      <c r="H7" s="21">
        <f>H6/G6-1</f>
        <v>0.1299999999999999</v>
      </c>
      <c r="I7" s="21">
        <f>I6/H6-1</f>
        <v>0.125</v>
      </c>
      <c r="J7" s="21">
        <f>J6/I6-1</f>
        <v>0.1200000000000001</v>
      </c>
      <c r="K7" s="21">
        <f>K6/J6-1</f>
        <v>0.11499999999999999</v>
      </c>
    </row>
    <row r="8">
      <c r="B8" t="inlineStr">
        <is>
          <t xml:space="preserve">Cost of goods sold</t>
        </is>
      </c>
      <c r="D8" s="11">
        <v>1133</v>
      </c>
      <c r="E8" s="11">
        <v>1258</v>
      </c>
      <c r="F8" s="11">
        <v>1392</v>
      </c>
      <c r="G8" s="22">
        <f>G6-G9</f>
        <v>1559.3999999999999</v>
      </c>
      <c r="H8" s="22">
        <f>H6-H9</f>
        <v>1746.7991999999995</v>
      </c>
      <c r="I8" s="22">
        <f>I6-I9</f>
        <v>1947.9109499999993</v>
      </c>
      <c r="J8" s="22">
        <f>J6-J9</f>
        <v>2162.3535359999996</v>
      </c>
      <c r="K8" s="22">
        <f>K6-K9</f>
        <v>2411.0241926399995</v>
      </c>
    </row>
    <row r="9">
      <c r="B9" s="14" t="inlineStr">
        <is>
          <t xml:space="preserve">Gross profit</t>
        </is>
      </c>
      <c r="D9" s="20">
        <f>$D$6-$D$8</f>
        <v>787</v>
      </c>
      <c r="E9" s="20">
        <f>E6-E8</f>
        <v>892</v>
      </c>
      <c r="F9" s="20">
        <f>F6-F8</f>
        <v>1008</v>
      </c>
      <c r="G9" s="20">
        <f>G6*(Inputs!G59+Margin_Shift)</f>
        <v>1152.5999999999997</v>
      </c>
      <c r="H9" s="20">
        <f>H6*(Inputs!H59+Margin_Shift)</f>
        <v>1317.7607999999996</v>
      </c>
      <c r="I9" s="20">
        <f>I6*(Inputs!I59+Margin_Shift)</f>
        <v>1499.7190499999995</v>
      </c>
      <c r="J9" s="20">
        <f>J6*(Inputs!J59+Margin_Shift)</f>
        <v>1698.9920639999993</v>
      </c>
      <c r="K9" s="20">
        <f>K6*(Inputs!K59+Margin_Shift)</f>
        <v>1894.3761513599995</v>
      </c>
    </row>
    <row r="10">
      <c r="B10" s="18" t="inlineStr">
        <is>
          <t xml:space="preserve">Gross margin</t>
        </is>
      </c>
      <c r="D10" s="21">
        <f>$D$9/$D$6</f>
        <v>0.40989583333333335</v>
      </c>
      <c r="E10" s="21">
        <f>E9/E6</f>
        <v>0.41488372093023257</v>
      </c>
      <c r="F10" s="21">
        <f>F9/F6</f>
        <v>0.42</v>
      </c>
      <c r="G10" s="21">
        <f>G9/G6</f>
        <v>0.42499999999999993</v>
      </c>
      <c r="H10" s="21">
        <f>H9/H6</f>
        <v>0.43</v>
      </c>
      <c r="I10" s="21">
        <f>I9/I6</f>
        <v>0.435</v>
      </c>
      <c r="J10" s="21">
        <f>J9/J6</f>
        <v>0.43999999999999995</v>
      </c>
      <c r="K10" s="21">
        <f>K9/K6</f>
        <v>0.44</v>
      </c>
    </row>
    <row r="11">
      <c r="B11" t="inlineStr">
        <is>
          <t xml:space="preserve">Operating expenses (ex D&amp;A)</t>
        </is>
      </c>
      <c r="D11" s="11">
        <v>480</v>
      </c>
      <c r="E11" s="11">
        <v>538</v>
      </c>
      <c r="F11" s="11">
        <v>600</v>
      </c>
      <c r="G11" s="22">
        <f>G6*Inputs!G65+EBITDA_Haircut*(G9-G6*Inputs!G65)</f>
        <v>677.9999999999999</v>
      </c>
      <c r="H11" s="22">
        <f>H6*Inputs!H65+EBITDA_Haircut*(H9-H6*Inputs!H65)</f>
        <v>760.0108799999997</v>
      </c>
      <c r="I11" s="22">
        <f>I6*Inputs!I65+EBITDA_Haircut*(I9-I6*Inputs!I65)</f>
        <v>844.6693499999997</v>
      </c>
      <c r="J11" s="22">
        <f>J6*Inputs!J65+EBITDA_Haircut*(J9-J6*Inputs!J65)</f>
        <v>938.3069807999997</v>
      </c>
      <c r="K11" s="22">
        <f>K6*Inputs!K65+EBITDA_Haircut*(K9-K6*Inputs!K65)</f>
        <v>1033.2960825599996</v>
      </c>
    </row>
    <row r="12">
      <c r="B12" s="14" t="inlineStr">
        <is>
          <t xml:space="preserve">EBITDA</t>
        </is>
      </c>
      <c r="D12" s="23">
        <f>$D$9-$D$11</f>
        <v>307</v>
      </c>
      <c r="E12" s="23">
        <f>E9-E11</f>
        <v>354</v>
      </c>
      <c r="F12" s="23">
        <f>F9-F11</f>
        <v>408</v>
      </c>
      <c r="G12" s="23">
        <f>G9-G11</f>
        <v>474.5999999999998</v>
      </c>
      <c r="H12" s="23">
        <f>H9-H11</f>
        <v>557.7499199999999</v>
      </c>
      <c r="I12" s="23">
        <f>I9-I11</f>
        <v>655.0496999999998</v>
      </c>
      <c r="J12" s="23">
        <f>J9-J11</f>
        <v>760.6850831999997</v>
      </c>
      <c r="K12" s="23">
        <f>K9-K11</f>
        <v>861.0800687999999</v>
      </c>
    </row>
    <row r="13">
      <c r="B13" s="18" t="inlineStr">
        <is>
          <t xml:space="preserve">EBITDA margin</t>
        </is>
      </c>
      <c r="D13" s="21">
        <f>$D$12/$D$6</f>
        <v>0.15989583333333332</v>
      </c>
      <c r="E13" s="21">
        <f>E12/E6</f>
        <v>0.16465116279069766</v>
      </c>
      <c r="F13" s="21">
        <f>F12/F6</f>
        <v>0.17</v>
      </c>
      <c r="G13" s="21">
        <f>G12/G6</f>
        <v>0.17499999999999996</v>
      </c>
      <c r="H13" s="21">
        <f>H12/H6</f>
        <v>0.18200000000000002</v>
      </c>
      <c r="I13" s="21">
        <f>I12/I6</f>
        <v>0.19</v>
      </c>
      <c r="J13" s="21">
        <f>J12/J6</f>
        <v>0.19699999999999998</v>
      </c>
      <c r="K13" s="21">
        <f>K12/K6</f>
        <v>0.20000000000000004</v>
      </c>
    </row>
    <row r="14">
      <c r="B14" t="inlineStr">
        <is>
          <t xml:space="preserve">Depreciation and amortisation</t>
        </is>
      </c>
      <c r="D14" s="11">
        <v>48</v>
      </c>
      <c r="E14" s="11">
        <v>53</v>
      </c>
      <c r="F14" s="11">
        <v>60</v>
      </c>
      <c r="G14" s="22">
        <f>G6*Inputs!G71</f>
        <v>67.8</v>
      </c>
      <c r="H14" s="22">
        <f>H6*Inputs!H71</f>
        <v>76.61399999999998</v>
      </c>
      <c r="I14" s="22">
        <f>I6*Inputs!I71</f>
        <v>86.19074999999998</v>
      </c>
      <c r="J14" s="22">
        <f>J6*Inputs!J71</f>
        <v>96.53363999999998</v>
      </c>
      <c r="K14" s="22">
        <f>K6*Inputs!K71</f>
        <v>107.63500859999998</v>
      </c>
    </row>
    <row r="15">
      <c r="B15" s="14" t="inlineStr">
        <is>
          <t xml:space="preserve">EBIT</t>
        </is>
      </c>
      <c r="D15" s="20">
        <f>$D$12-$D$14</f>
        <v>259</v>
      </c>
      <c r="E15" s="20">
        <f>E12-E14</f>
        <v>301</v>
      </c>
      <c r="F15" s="20">
        <f>F12-F14</f>
        <v>348</v>
      </c>
      <c r="G15" s="20">
        <f>G12-G14</f>
        <v>406.7999999999998</v>
      </c>
      <c r="H15" s="20">
        <f>H12-H14</f>
        <v>481.1359199999999</v>
      </c>
      <c r="I15" s="20">
        <f>I12-I14</f>
        <v>568.8589499999998</v>
      </c>
      <c r="J15" s="20">
        <f>J12-J14</f>
        <v>664.1514431999997</v>
      </c>
      <c r="K15" s="20">
        <f>K12-K14</f>
        <v>753.4450602</v>
      </c>
    </row>
    <row r="16">
      <c r="B16" t="inlineStr">
        <is>
          <t xml:space="preserve">Other income / interest on cash</t>
        </is>
      </c>
      <c r="D16" s="11">
        <v>12</v>
      </c>
      <c r="E16" s="11">
        <v>14</v>
      </c>
      <c r="F16" s="11">
        <v>15</v>
      </c>
      <c r="G16" s="24">
        <f>Debt!G47</f>
        <v>6</v>
      </c>
      <c r="H16" s="24">
        <f>Debt!H47</f>
        <v>5.999999999999999</v>
      </c>
      <c r="I16" s="24">
        <f>Debt!I47</f>
        <v>5.999999999999999</v>
      </c>
      <c r="J16" s="24">
        <f>Debt!J47</f>
        <v>5.999999999999999</v>
      </c>
      <c r="K16" s="24">
        <f>Debt!K47</f>
        <v>23.3950658422759</v>
      </c>
    </row>
    <row r="17">
      <c r="B17" t="inlineStr">
        <is>
          <t xml:space="preserve">Finance cost</t>
        </is>
      </c>
      <c r="D17" s="11">
        <v>22</v>
      </c>
      <c r="E17" s="11">
        <v>20</v>
      </c>
      <c r="F17" s="11">
        <v>18</v>
      </c>
      <c r="G17" s="24">
        <f>Debt!G46</f>
        <v>206.463</v>
      </c>
      <c r="H17" s="24">
        <f>Debt!H46</f>
        <v>200.7060611587808</v>
      </c>
      <c r="I17" s="24">
        <f>Debt!I46</f>
        <v>188.9596011971312</v>
      </c>
      <c r="J17" s="24">
        <f>Debt!J46</f>
        <v>169.1731681688545</v>
      </c>
      <c r="K17" s="24">
        <f>Debt!K46</f>
        <v>167.77565806799998</v>
      </c>
    </row>
    <row r="18">
      <c r="B18" s="14" t="inlineStr">
        <is>
          <t xml:space="preserve">Profit before tax</t>
        </is>
      </c>
      <c r="D18" s="20">
        <f>$D$15+$D$16-$D$17</f>
        <v>249</v>
      </c>
      <c r="E18" s="20">
        <f>E15+E16-E17</f>
        <v>295</v>
      </c>
      <c r="F18" s="20">
        <f>F15+F16-F17</f>
        <v>345</v>
      </c>
      <c r="G18" s="20">
        <f>G15+G16-G17</f>
        <v>206.3369999999998</v>
      </c>
      <c r="H18" s="20">
        <f>H15+H16-H17</f>
        <v>286.4298588412191</v>
      </c>
      <c r="I18" s="20">
        <f>I15+I16-I17</f>
        <v>385.89934880286864</v>
      </c>
      <c r="J18" s="20">
        <f>J15+J16-J17</f>
        <v>500.9782750311452</v>
      </c>
      <c r="K18" s="20">
        <f>K15+K16-K17</f>
        <v>609.0644679742759</v>
      </c>
    </row>
    <row r="19">
      <c r="B19" t="inlineStr">
        <is>
          <t xml:space="preserve">Tax</t>
        </is>
      </c>
      <c r="D19" s="11">
        <v>62.7</v>
      </c>
      <c r="E19" s="11">
        <v>74.3</v>
      </c>
      <c r="F19" s="11">
        <v>86.8</v>
      </c>
      <c r="G19" s="22">
        <f>G34</f>
        <v>65.96855639999997</v>
      </c>
      <c r="H19" s="22">
        <f>H34</f>
        <v>78.40025700479998</v>
      </c>
      <c r="I19" s="22">
        <f>I34</f>
        <v>93.13303726799997</v>
      </c>
      <c r="J19" s="22">
        <f>J34</f>
        <v>109.75466561655612</v>
      </c>
      <c r="K19" s="22">
        <f>K34</f>
        <v>153.30152658912522</v>
      </c>
    </row>
    <row r="20">
      <c r="B20" s="14" t="inlineStr">
        <is>
          <t xml:space="preserve">Net income</t>
        </is>
      </c>
      <c r="D20" s="23">
        <f>$D$18-$D$19</f>
        <v>186.3</v>
      </c>
      <c r="E20" s="23">
        <f>E18-E19</f>
        <v>220.7</v>
      </c>
      <c r="F20" s="23">
        <f>F18-F19</f>
        <v>258.2</v>
      </c>
      <c r="G20" s="23">
        <f>G18-G19</f>
        <v>140.3684435999998</v>
      </c>
      <c r="H20" s="23">
        <f>H18-H19</f>
        <v>208.0296018364191</v>
      </c>
      <c r="I20" s="23">
        <f>I18-I19</f>
        <v>292.7663115348687</v>
      </c>
      <c r="J20" s="23">
        <f>J18-J19</f>
        <v>391.2236094145891</v>
      </c>
      <c r="K20" s="23">
        <f>K18-K19</f>
        <v>455.76294138515067</v>
      </c>
    </row>
    <row r="22">
      <c r="B22" s="17" t="inlineStr">
        <is>
          <t xml:space="preserve">Tax schedule (interest limitation and losses)</t>
        </is>
      </c>
      <c r="C22" s="16" t="inlineStr">
        <is>
          <t xml:space="preserve">INR crore</t>
        </is>
      </c>
      <c r="D22" s="16"/>
      <c r="E22" s="16"/>
      <c r="F22" s="16" t="inlineStr">
        <is>
          <t xml:space="preserve">At close</t>
        </is>
      </c>
      <c r="G22" s="16" t="inlineStr">
        <is>
          <t xml:space="preserve">FY27E</t>
        </is>
      </c>
      <c r="H22" s="16" t="inlineStr">
        <is>
          <t xml:space="preserve">FY28E</t>
        </is>
      </c>
      <c r="I22" s="16" t="inlineStr">
        <is>
          <t xml:space="preserve">FY29E</t>
        </is>
      </c>
      <c r="J22" s="16" t="inlineStr">
        <is>
          <t xml:space="preserve">FY30E</t>
        </is>
      </c>
      <c r="K22" s="16" t="inlineStr">
        <is>
          <t xml:space="preserve">FY31E</t>
        </is>
      </c>
    </row>
    <row r="23">
      <c r="B23" t="inlineStr">
        <is>
          <t xml:space="preserve">Interest expense for the cap (cash + PIK + revolver)</t>
        </is>
      </c>
      <c r="G23" s="22">
        <f>Debt!G42+Debt!G43+Debt!G20+Debt!G21</f>
        <v>199.935</v>
      </c>
      <c r="H23" s="22">
        <f>Debt!H42+Debt!H43+Debt!H20+Debt!H21</f>
        <v>194.17806115878082</v>
      </c>
      <c r="I23" s="22">
        <f>Debt!I42+Debt!I43+Debt!I20+Debt!I21</f>
        <v>182.43160119713122</v>
      </c>
      <c r="J23" s="22">
        <f>Debt!J42+Debt!J43+Debt!J20+Debt!J21</f>
        <v>162.6451681688545</v>
      </c>
      <c r="K23" s="22">
        <f>Debt!K42+Debt!K43+Debt!K20+Debt!K21</f>
        <v>161.247658068</v>
      </c>
    </row>
    <row r="24">
      <c r="B24" t="inlineStr">
        <is>
          <t xml:space="preserve">Tax EBITDA (EBITDA + interest income)</t>
        </is>
      </c>
      <c r="G24" s="22">
        <f>G12+G16</f>
        <v>480.5999999999998</v>
      </c>
      <c r="H24" s="22">
        <f>H12+H16</f>
        <v>563.7499199999999</v>
      </c>
      <c r="I24" s="22">
        <f>I12+I16</f>
        <v>661.0496999999998</v>
      </c>
      <c r="J24" s="22">
        <f>J12+J16</f>
        <v>766.6850831999997</v>
      </c>
      <c r="K24" s="22">
        <f>K12+K16</f>
        <v>884.4751346422759</v>
      </c>
    </row>
    <row r="25">
      <c r="B25" t="inlineStr">
        <is>
          <t xml:space="preserve">Interest cap</t>
        </is>
      </c>
      <c r="G25" s="22">
        <f>Cap_Pct*G24</f>
        <v>144.17999999999992</v>
      </c>
      <c r="H25" s="22">
        <f>Cap_Pct*H24</f>
        <v>169.12497599999995</v>
      </c>
      <c r="I25" s="22">
        <f>Cap_Pct*I24</f>
        <v>198.31490999999994</v>
      </c>
      <c r="J25" s="22">
        <f>Cap_Pct*J24</f>
        <v>230.0055249599999</v>
      </c>
      <c r="K25" s="22">
        <f>Cap_Pct*K24</f>
        <v>265.34254039268274</v>
      </c>
    </row>
    <row r="26">
      <c r="B26" t="inlineStr">
        <is>
          <t xml:space="preserve">Interest on caught debt</t>
        </is>
      </c>
      <c r="G26" s="22">
        <f>(Debt!G25+Debt!G26)*Inputs!$D$107+(Debt!G34+Debt!G35)*Inputs!$D$115</f>
        <v>142.8</v>
      </c>
      <c r="H26" s="22">
        <f>(Debt!H25+Debt!H26)*Inputs!$D$107+(Debt!H34+Debt!H35)*Inputs!$D$115</f>
        <v>147.08399999999997</v>
      </c>
      <c r="I26" s="22">
        <f>(Debt!I25+Debt!I26)*Inputs!$D$107+(Debt!I34+Debt!I35)*Inputs!$D$115</f>
        <v>151.49651999999998</v>
      </c>
      <c r="J26" s="22">
        <f>(Debt!J25+Debt!J26)*Inputs!$D$107+(Debt!J34+Debt!J35)*Inputs!$D$115</f>
        <v>156.0414156</v>
      </c>
      <c r="K26" s="22">
        <f>(Debt!K25+Debt!K26)*Inputs!$D$107+(Debt!K34+Debt!K35)*Inputs!$D$115</f>
        <v>160.722658068</v>
      </c>
    </row>
    <row r="27">
      <c r="B27" t="inlineStr">
        <is>
          <t xml:space="preserve">Disallowed interest (carried forward)</t>
        </is>
      </c>
      <c r="G27" s="22">
        <f>IF(G26&gt;Cap_Threshold,MIN(MAX(0,G23-G25),G26),0)</f>
        <v>55.75500000000008</v>
      </c>
      <c r="H27" s="22">
        <f>IF(H26&gt;Cap_Threshold,MIN(MAX(0,H23-H25),H26),0)</f>
        <v>25.053085158780874</v>
      </c>
      <c r="I27" s="22">
        <f>IF(I26&gt;Cap_Threshold,MIN(MAX(0,I23-I25),I26),0)</f>
        <v>0</v>
      </c>
      <c r="J27" s="22">
        <f>IF(J26&gt;Cap_Threshold,MIN(MAX(0,J23-J25),J26),0)</f>
        <v>0</v>
      </c>
      <c r="K27" s="22">
        <f>IF(K26&gt;Cap_Threshold,MIN(MAX(0,K23-K25),K26),0)</f>
        <v>0</v>
      </c>
    </row>
    <row r="28">
      <c r="B28" t="inlineStr">
        <is>
          <t xml:space="preserve">Carried-forward interest deducted</t>
        </is>
      </c>
      <c r="G28" s="22">
        <f>MIN(F29,MAX(0,G25-G23))</f>
        <v>0</v>
      </c>
      <c r="H28" s="22">
        <f>MIN(G29,MAX(0,H25-H23))</f>
        <v>0</v>
      </c>
      <c r="I28" s="22">
        <f>MIN(H29,MAX(0,I25-I23))</f>
        <v>15.883308802868726</v>
      </c>
      <c r="J28" s="22">
        <f>MIN(I29,MAX(0,J25-J23))</f>
        <v>64.92477635591223</v>
      </c>
      <c r="K28" s="22">
        <f>MIN(J29,MAX(0,K25-K23))</f>
        <v>0</v>
      </c>
    </row>
    <row r="29">
      <c r="B29" t="inlineStr">
        <is>
          <t xml:space="preserve">Disallowed interest carried forward (closing)</t>
        </is>
      </c>
      <c r="F29" s="11">
        <v>0</v>
      </c>
      <c r="G29" s="22">
        <f>F29+G27-G28</f>
        <v>55.75500000000008</v>
      </c>
      <c r="H29" s="22">
        <f>G29+H27-H28</f>
        <v>80.80808515878095</v>
      </c>
      <c r="I29" s="22">
        <f>H29+I27-I28</f>
        <v>64.92477635591223</v>
      </c>
      <c r="J29" s="22">
        <f>I29+J27-J28</f>
        <v>0</v>
      </c>
      <c r="K29" s="22">
        <f>J29+K27-K28</f>
        <v>0</v>
      </c>
    </row>
    <row r="30">
      <c r="B30" t="inlineStr">
        <is>
          <t xml:space="preserve">Taxable income before losses</t>
        </is>
      </c>
      <c r="G30" s="22">
        <f>G18+G27-G28</f>
        <v>262.09199999999987</v>
      </c>
      <c r="H30" s="22">
        <f>H18+H27-H28</f>
        <v>311.482944</v>
      </c>
      <c r="I30" s="22">
        <f>I18+I27-I28</f>
        <v>370.0160399999999</v>
      </c>
      <c r="J30" s="22">
        <f>J18+J27-J28</f>
        <v>436.05349867523296</v>
      </c>
      <c r="K30" s="22">
        <f>K18+K27-K28</f>
        <v>609.0644679742759</v>
      </c>
    </row>
    <row r="31">
      <c r="B31" t="inlineStr">
        <is>
          <t xml:space="preserve">Tax losses used</t>
        </is>
      </c>
      <c r="G31" s="22">
        <f>MIN(F32,MAX(0,G30))</f>
        <v>0</v>
      </c>
      <c r="H31" s="22">
        <f>MIN(G32,MAX(0,H30))</f>
        <v>0</v>
      </c>
      <c r="I31" s="22">
        <f>MIN(H32,MAX(0,I30))</f>
        <v>0</v>
      </c>
      <c r="J31" s="22">
        <f>MIN(I32,MAX(0,J30))</f>
        <v>0</v>
      </c>
      <c r="K31" s="22">
        <f>MIN(J32,MAX(0,K30))</f>
        <v>0</v>
      </c>
    </row>
    <row r="32">
      <c r="B32" t="inlineStr">
        <is>
          <t xml:space="preserve">Tax losses carried forward (closing)</t>
        </is>
      </c>
      <c r="F32" s="11">
        <v>0</v>
      </c>
      <c r="G32" s="22">
        <f>F32-G31+MAX(0,-G30)</f>
        <v>0</v>
      </c>
      <c r="H32" s="22">
        <f>G32-H31+MAX(0,-H30)</f>
        <v>0</v>
      </c>
      <c r="I32" s="22">
        <f>H32-I31+MAX(0,-I30)</f>
        <v>0</v>
      </c>
      <c r="J32" s="22">
        <f>I32-J31+MAX(0,-J30)</f>
        <v>0</v>
      </c>
      <c r="K32" s="22">
        <f>J32-K31+MAX(0,-K30)</f>
        <v>0</v>
      </c>
    </row>
    <row r="33">
      <c r="B33" t="inlineStr">
        <is>
          <t xml:space="preserve">Taxable income</t>
        </is>
      </c>
      <c r="G33" s="22">
        <f>MAX(0,G30-G31)</f>
        <v>262.09199999999987</v>
      </c>
      <c r="H33" s="22">
        <f>MAX(0,H30-H31)</f>
        <v>311.482944</v>
      </c>
      <c r="I33" s="22">
        <f>MAX(0,I30-I31)</f>
        <v>370.0160399999999</v>
      </c>
      <c r="J33" s="22">
        <f>MAX(0,J30-J31)</f>
        <v>436.05349867523296</v>
      </c>
      <c r="K33" s="22">
        <f>MAX(0,K30-K31)</f>
        <v>609.0644679742759</v>
      </c>
    </row>
    <row r="34">
      <c r="B34" s="14" t="inlineStr">
        <is>
          <t xml:space="preserve">Tax at the corporate rate</t>
        </is>
      </c>
      <c r="G34" s="20">
        <f>G33*Tax_Rate</f>
        <v>65.96855639999997</v>
      </c>
      <c r="H34" s="20">
        <f>H33*Tax_Rate</f>
        <v>78.40025700479998</v>
      </c>
      <c r="I34" s="20">
        <f>I33*Tax_Rate</f>
        <v>93.13303726799997</v>
      </c>
      <c r="J34" s="20">
        <f>J33*Tax_Rate</f>
        <v>109.75466561655612</v>
      </c>
      <c r="K34" s="20">
        <f>K33*Tax_Rate</f>
        <v>153.30152658912522</v>
      </c>
    </row>
    <row r="36">
      <c r="B36" s="25" t="inlineStr">
        <is>
          <t xml:space="preserve">s.94B of the Income-tax Act, 1961 (carried into the Income-tax Act, 2025) caps deductible interest on debt from, or guaranteed by, non-resident associated enterprises at 30% of EBITDA. Confirm applicability with tax counsel.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3864"/>
  </sheetPr>
  <dimension ref="A1:K33"/>
  <sheetViews>
    <sheetView showGridLines="0" zoomScale="90" workbookViewId="0">
      <pane xSplit="3" ySplit="5" topLeftCell="D6" activePane="bottomRight" state="frozen"/>
      <selection pane="bottomRight" activeCell="D6" sqref="D6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Balance sheet</t>
        </is>
      </c>
    </row>
    <row r="3">
      <c r="B3" s="2" t="inlineStr">
        <is>
          <t xml:space="preserve">FY26A is reported; the deal adjusts it to the pro forma balance sheet at close.</t>
        </is>
      </c>
    </row>
    <row r="5">
      <c r="B5" s="17" t="inlineStr">
        <is>
          <t xml:space="preserve">Balance sheet</t>
        </is>
      </c>
      <c r="C5" s="16" t="inlineStr">
        <is>
          <t xml:space="preserve">INR crore</t>
        </is>
      </c>
      <c r="D5" s="16" t="inlineStr">
        <is>
          <t xml:space="preserve">FY26A</t>
        </is>
      </c>
      <c r="E5" s="16" t="inlineStr">
        <is>
          <t xml:space="preserve">Adjustments</t>
        </is>
      </c>
      <c r="F5" s="16" t="inlineStr">
        <is>
          <t xml:space="preserve">Pro forma</t>
        </is>
      </c>
      <c r="G5" s="16" t="inlineStr">
        <is>
          <t xml:space="preserve">FY27E</t>
        </is>
      </c>
      <c r="H5" s="16" t="inlineStr">
        <is>
          <t xml:space="preserve">FY28E</t>
        </is>
      </c>
      <c r="I5" s="16" t="inlineStr">
        <is>
          <t xml:space="preserve">FY29E</t>
        </is>
      </c>
      <c r="J5" s="16" t="inlineStr">
        <is>
          <t xml:space="preserve">FY30E</t>
        </is>
      </c>
      <c r="K5" s="16" t="inlineStr">
        <is>
          <t xml:space="preserve">FY31E</t>
        </is>
      </c>
    </row>
    <row r="6">
      <c r="B6" s="4" t="inlineStr">
        <is>
          <t xml:space="preserve">Assets</t>
        </is>
      </c>
    </row>
    <row r="7">
      <c r="B7" t="inlineStr">
        <is>
          <t xml:space="preserve">Cash</t>
        </is>
      </c>
      <c r="D7" s="11">
        <v>260</v>
      </c>
      <c r="E7" s="24">
        <f>Min_Cash-D7</f>
        <v>-160</v>
      </c>
      <c r="F7" s="22">
        <f>D7+E7</f>
        <v>100</v>
      </c>
      <c r="G7" s="22">
        <f>CF!G20</f>
        <v>99.99999999999999</v>
      </c>
      <c r="H7" s="22">
        <f>CF!H20</f>
        <v>99.99999999999999</v>
      </c>
      <c r="I7" s="22">
        <f>CF!I20</f>
        <v>99.99999999999999</v>
      </c>
      <c r="J7" s="22">
        <f>CF!J20</f>
        <v>389.9177640379317</v>
      </c>
      <c r="K7" s="22">
        <f>CF!K20</f>
        <v>803.6911740260687</v>
      </c>
    </row>
    <row r="8">
      <c r="B8" t="inlineStr">
        <is>
          <t xml:space="preserve">Trade receivables</t>
        </is>
      </c>
      <c r="D8" s="11">
        <v>197</v>
      </c>
      <c r="F8" s="22">
        <f>D8+E8</f>
        <v>197</v>
      </c>
      <c r="G8" s="22">
        <f>IS!G6*Inputs!G83/365</f>
        <v>222.90410958904107</v>
      </c>
      <c r="H8" s="22">
        <f>IS!H6*Inputs!H83/365</f>
        <v>251.88164383561636</v>
      </c>
      <c r="I8" s="22">
        <f>IS!I6*Inputs!I83/365</f>
        <v>283.3668493150684</v>
      </c>
      <c r="J8" s="22">
        <f>IS!J6*Inputs!J83/365</f>
        <v>317.3708712328766</v>
      </c>
      <c r="K8" s="22">
        <f>IS!K6*Inputs!K83/365</f>
        <v>353.86852142465744</v>
      </c>
    </row>
    <row r="9">
      <c r="B9" t="inlineStr">
        <is>
          <t xml:space="preserve">Inventory</t>
        </is>
      </c>
      <c r="D9" s="11">
        <v>229</v>
      </c>
      <c r="F9" s="22">
        <f>D9+E9</f>
        <v>229</v>
      </c>
      <c r="G9" s="22">
        <f>IS!G8*Inputs!G89/365</f>
        <v>256.3397260273972</v>
      </c>
      <c r="H9" s="22">
        <f>IS!H8*Inputs!H89/365</f>
        <v>287.14507397260263</v>
      </c>
      <c r="I9" s="22">
        <f>IS!I8*Inputs!I89/365</f>
        <v>320.2045397260273</v>
      </c>
      <c r="J9" s="22">
        <f>IS!J8*Inputs!J89/365</f>
        <v>355.45537578082184</v>
      </c>
      <c r="K9" s="22">
        <f>IS!K8*Inputs!K89/365</f>
        <v>396.3327439956164</v>
      </c>
    </row>
    <row r="10">
      <c r="B10" t="inlineStr">
        <is>
          <t xml:space="preserve">Other current assets</t>
        </is>
      </c>
      <c r="D10" s="11">
        <v>80</v>
      </c>
      <c r="F10" s="22">
        <f>D10+E10</f>
        <v>80</v>
      </c>
      <c r="G10" s="22">
        <f>F10</f>
        <v>80</v>
      </c>
      <c r="H10" s="22">
        <f>G10</f>
        <v>80</v>
      </c>
      <c r="I10" s="22">
        <f>H10</f>
        <v>80</v>
      </c>
      <c r="J10" s="22">
        <f>I10</f>
        <v>80</v>
      </c>
      <c r="K10" s="22">
        <f>J10</f>
        <v>80</v>
      </c>
    </row>
    <row r="11">
      <c r="B11" t="inlineStr">
        <is>
          <t xml:space="preserve">Property, plant and equipment</t>
        </is>
      </c>
      <c r="D11" s="11">
        <v>900</v>
      </c>
      <c r="F11" s="22">
        <f>D11+E11</f>
        <v>900</v>
      </c>
      <c r="G11" s="22">
        <f>F11-CF!G12-IS!G14</f>
        <v>940.6800000000001</v>
      </c>
      <c r="H11" s="22">
        <f>G11-CF!H12-IS!H14</f>
        <v>980.51928</v>
      </c>
      <c r="I11" s="22">
        <f>H11-CF!I12-IS!I14</f>
        <v>1014.99558</v>
      </c>
      <c r="J11" s="22">
        <f>I11-CF!J12-IS!J14</f>
        <v>1053.609036</v>
      </c>
      <c r="K11" s="22">
        <f>J11-CF!K12-IS!K14</f>
        <v>1096.6630394400001</v>
      </c>
    </row>
    <row r="12">
      <c r="B12" t="inlineStr">
        <is>
          <t xml:space="preserve">Intangibles</t>
        </is>
      </c>
      <c r="D12" s="11">
        <v>150</v>
      </c>
      <c r="F12" s="22">
        <f>D12+E12</f>
        <v>150</v>
      </c>
      <c r="G12" s="22">
        <f>F12</f>
        <v>150</v>
      </c>
      <c r="H12" s="22">
        <f>G12</f>
        <v>150</v>
      </c>
      <c r="I12" s="22">
        <f>H12</f>
        <v>150</v>
      </c>
      <c r="J12" s="22">
        <f>I12</f>
        <v>150</v>
      </c>
      <c r="K12" s="22">
        <f>J12</f>
        <v>150</v>
      </c>
    </row>
    <row r="13">
      <c r="B13" t="inlineStr">
        <is>
          <t xml:space="preserve">Goodwill from the transaction</t>
        </is>
      </c>
      <c r="D13" s="11">
        <v>0</v>
      </c>
      <c r="E13" s="24">
        <f>Deal!$D$44</f>
        <v>4424</v>
      </c>
      <c r="F13" s="22">
        <f>D13+E13</f>
        <v>4424</v>
      </c>
      <c r="G13" s="22">
        <f>F13</f>
        <v>4424</v>
      </c>
      <c r="H13" s="22">
        <f>G13</f>
        <v>4424</v>
      </c>
      <c r="I13" s="22">
        <f>H13</f>
        <v>4424</v>
      </c>
      <c r="J13" s="22">
        <f>I13</f>
        <v>4424</v>
      </c>
      <c r="K13" s="22">
        <f>J13</f>
        <v>4424</v>
      </c>
    </row>
    <row r="14">
      <c r="B14" t="inlineStr">
        <is>
          <t xml:space="preserve">Other non-current assets</t>
        </is>
      </c>
      <c r="D14" s="11">
        <v>60</v>
      </c>
      <c r="F14" s="22">
        <f>D14+E14</f>
        <v>60</v>
      </c>
      <c r="G14" s="22">
        <f>F14</f>
        <v>60</v>
      </c>
      <c r="H14" s="22">
        <f>G14</f>
        <v>60</v>
      </c>
      <c r="I14" s="22">
        <f>H14</f>
        <v>60</v>
      </c>
      <c r="J14" s="22">
        <f>I14</f>
        <v>60</v>
      </c>
      <c r="K14" s="22">
        <f>J14</f>
        <v>60</v>
      </c>
    </row>
    <row r="15">
      <c r="B15" t="inlineStr">
        <is>
          <t xml:space="preserve">Deferred financing fees</t>
        </is>
      </c>
      <c r="D15" s="11">
        <v>0</v>
      </c>
      <c r="E15" s="24">
        <f>Deal!$D$20</f>
        <v>32.64</v>
      </c>
      <c r="F15" s="22">
        <f>D15+E15</f>
        <v>32.64</v>
      </c>
      <c r="G15" s="22">
        <f>F15-Debt!G45</f>
        <v>26.112000000000002</v>
      </c>
      <c r="H15" s="22">
        <f>G15-Debt!H45</f>
        <v>19.584000000000003</v>
      </c>
      <c r="I15" s="22">
        <f>H15-Debt!I45</f>
        <v>13.056000000000003</v>
      </c>
      <c r="J15" s="22">
        <f>I15-Debt!J45</f>
        <v>6.528000000000002</v>
      </c>
      <c r="K15" s="22">
        <f>J15-Debt!K45</f>
        <v>1.7763568394002505e-15</v>
      </c>
    </row>
    <row r="16">
      <c r="B16" s="14" t="inlineStr">
        <is>
          <t xml:space="preserve">Total assets</t>
        </is>
      </c>
      <c r="D16" s="20">
        <f>D7+D8+D9+D10+D11+D12+D13+D14+D15</f>
        <v>1876</v>
      </c>
      <c r="E16" s="20">
        <f>E7+E8+E9+E10+E11+E12+E13+E14+E15</f>
        <v>4296.64</v>
      </c>
      <c r="F16" s="20">
        <f>F7+F8+F9+F10+F11+F12+F13+F14+F15</f>
        <v>6172.64</v>
      </c>
      <c r="G16" s="20">
        <f>G7+G8+G9+G10+G11+G12+G13+G14+G15</f>
        <v>6260.035835616439</v>
      </c>
      <c r="H16" s="20">
        <f>H7+H8+H9+H10+H11+H12+H13+H14+H15</f>
        <v>6353.129997808219</v>
      </c>
      <c r="I16" s="20">
        <f>I7+I8+I9+I10+I11+I12+I13+I14+I15</f>
        <v>6445.6229690410955</v>
      </c>
      <c r="J16" s="20">
        <f>J7+J8+J9+J10+J11+J12+J13+J14+J15</f>
        <v>6836.881047051631</v>
      </c>
      <c r="K16" s="20">
        <f>K7+K8+K9+K10+K11+K12+K13+K14+K15</f>
        <v>7364.555478886343</v>
      </c>
    </row>
    <row r="18">
      <c r="B18" s="4" t="inlineStr">
        <is>
          <t xml:space="preserve">Liabilities and equity</t>
        </is>
      </c>
    </row>
    <row r="19">
      <c r="B19" t="inlineStr">
        <is>
          <t xml:space="preserve">Trade payables</t>
        </is>
      </c>
      <c r="D19" s="11">
        <v>210</v>
      </c>
      <c r="F19" s="22">
        <f>D19+E19</f>
        <v>210</v>
      </c>
      <c r="G19" s="22">
        <f>IS!G8*Inputs!G95/365</f>
        <v>234.97808219178077</v>
      </c>
      <c r="H19" s="22">
        <f>IS!H8*Inputs!H95/365</f>
        <v>263.2163178082191</v>
      </c>
      <c r="I19" s="22">
        <f>IS!I8*Inputs!I95/365</f>
        <v>293.5208280821917</v>
      </c>
      <c r="J19" s="22">
        <f>IS!J8*Inputs!J95/365</f>
        <v>325.83409446575337</v>
      </c>
      <c r="K19" s="22">
        <f>IS!K8*Inputs!K95/365</f>
        <v>363.305015329315</v>
      </c>
    </row>
    <row r="20">
      <c r="B20" t="inlineStr">
        <is>
          <t xml:space="preserve">Other current liabilities</t>
        </is>
      </c>
      <c r="D20" s="11">
        <v>120</v>
      </c>
      <c r="F20" s="22">
        <f>D20+E20</f>
        <v>120</v>
      </c>
      <c r="G20" s="22">
        <f>F20</f>
        <v>120</v>
      </c>
      <c r="H20" s="22">
        <f>G20</f>
        <v>120</v>
      </c>
      <c r="I20" s="22">
        <f>H20</f>
        <v>120</v>
      </c>
      <c r="J20" s="22">
        <f>I20</f>
        <v>120</v>
      </c>
      <c r="K20" s="22">
        <f>J20</f>
        <v>120</v>
      </c>
    </row>
    <row r="21">
      <c r="B21" t="inlineStr">
        <is>
          <t xml:space="preserve">Revolver</t>
        </is>
      </c>
      <c r="D21" s="11">
        <v>0</v>
      </c>
      <c r="F21" s="22">
        <f>D21+E21</f>
        <v>0</v>
      </c>
      <c r="G21" s="22">
        <f>Debt!G19</f>
        <v>0</v>
      </c>
      <c r="H21" s="22">
        <f>Debt!H19</f>
        <v>0</v>
      </c>
      <c r="I21" s="22">
        <f>Debt!I19</f>
        <v>0</v>
      </c>
      <c r="J21" s="22">
        <f>Debt!J19</f>
        <v>0</v>
      </c>
      <c r="K21" s="22">
        <f>Debt!K19</f>
        <v>0</v>
      </c>
    </row>
    <row r="22">
      <c r="B22" t="inlineStr">
        <is>
          <t xml:space="preserve">Existing debt (refinanced at close)</t>
        </is>
      </c>
      <c r="D22" s="11">
        <v>200</v>
      </c>
      <c r="E22" s="24">
        <f>-D22</f>
        <v>-200</v>
      </c>
      <c r="F22" s="22">
        <f>D22+E22</f>
        <v>0</v>
      </c>
      <c r="G22" s="22">
        <f>F22</f>
        <v>0</v>
      </c>
      <c r="H22" s="22">
        <f>G22</f>
        <v>0</v>
      </c>
      <c r="I22" s="22">
        <f>H22</f>
        <v>0</v>
      </c>
      <c r="J22" s="22">
        <f>I22</f>
        <v>0</v>
      </c>
      <c r="K22" s="22">
        <f>J22</f>
        <v>0</v>
      </c>
    </row>
    <row r="23">
      <c r="B23" t="inlineStr">
        <is>
          <t xml:space="preserve">OpCo senior term loan</t>
        </is>
      </c>
      <c r="D23" s="11">
        <v>0</v>
      </c>
      <c r="E23" s="24">
        <f>Deal!$D$15</f>
        <v>612</v>
      </c>
      <c r="F23" s="22">
        <f>D23+E23</f>
        <v>612</v>
      </c>
      <c r="G23" s="22">
        <f>Debt!G30</f>
        <v>503.44930982465763</v>
      </c>
      <c r="H23" s="22">
        <f>Debt!H30</f>
        <v>328.7576345635809</v>
      </c>
      <c r="I23" s="22">
        <f>Debt!I30</f>
        <v>65.71624398761628</v>
      </c>
      <c r="J23" s="22">
        <f>Debt!J30</f>
        <v>0</v>
      </c>
      <c r="K23" s="22">
        <f>Debt!K30</f>
        <v>0</v>
      </c>
    </row>
    <row r="24">
      <c r="B24" t="inlineStr">
        <is>
          <t xml:space="preserve">HoldCo NCDs (private credit)</t>
        </is>
      </c>
      <c r="D24" s="11">
        <v>0</v>
      </c>
      <c r="E24" s="24">
        <f>Deal!$D$16</f>
        <v>1020</v>
      </c>
      <c r="F24" s="22">
        <f>D24+E24</f>
        <v>1020</v>
      </c>
      <c r="G24" s="22">
        <f>Debt!G39</f>
        <v>1050.6</v>
      </c>
      <c r="H24" s="22">
        <f>Debt!H39</f>
        <v>1082.118</v>
      </c>
      <c r="I24" s="22">
        <f>Debt!I39</f>
        <v>1114.58154</v>
      </c>
      <c r="J24" s="22">
        <f>Debt!J39</f>
        <v>1148.0189862</v>
      </c>
      <c r="K24" s="22">
        <f>Debt!K39</f>
        <v>1182.459555786</v>
      </c>
    </row>
    <row r="25">
      <c r="B25" t="inlineStr">
        <is>
          <t xml:space="preserve">Other non-current liabilities</t>
        </is>
      </c>
      <c r="D25" s="11">
        <v>70</v>
      </c>
      <c r="F25" s="22">
        <f>D25+E25</f>
        <v>70</v>
      </c>
      <c r="G25" s="22">
        <f>F25</f>
        <v>70</v>
      </c>
      <c r="H25" s="22">
        <f>G25</f>
        <v>70</v>
      </c>
      <c r="I25" s="22">
        <f>H25</f>
        <v>70</v>
      </c>
      <c r="J25" s="22">
        <f>I25</f>
        <v>70</v>
      </c>
      <c r="K25" s="22">
        <f>J25</f>
        <v>70</v>
      </c>
    </row>
    <row r="26">
      <c r="B26" t="inlineStr">
        <is>
          <t xml:space="preserve">Shareholders' equity</t>
        </is>
      </c>
      <c r="D26" s="11">
        <v>1276</v>
      </c>
      <c r="E26" s="24">
        <f>Deal!$D$41-Deal!$D$19-D26</f>
        <v>2864.6400000000003</v>
      </c>
      <c r="F26" s="22">
        <f>D26+E26</f>
        <v>4140.64</v>
      </c>
      <c r="G26" s="22">
        <f>F26+IS!G20</f>
        <v>4281.0084436</v>
      </c>
      <c r="H26" s="22">
        <f>G26+IS!H20</f>
        <v>4489.0380454364185</v>
      </c>
      <c r="I26" s="22">
        <f>H26+IS!I20</f>
        <v>4781.804356971287</v>
      </c>
      <c r="J26" s="22">
        <f>I26+IS!J20</f>
        <v>5173.027966385876</v>
      </c>
      <c r="K26" s="22">
        <f>J26+IS!K20</f>
        <v>5628.790907771027</v>
      </c>
    </row>
    <row r="27">
      <c r="B27" s="14" t="inlineStr">
        <is>
          <t xml:space="preserve">Total liabilities and equity</t>
        </is>
      </c>
      <c r="D27" s="20">
        <f>D19+D20+D21+D22+D23+D24+D25+D26</f>
        <v>1876</v>
      </c>
      <c r="E27" s="20">
        <f>E19+E20+E21+E22+E23+E24+E25+E26</f>
        <v>4296.64</v>
      </c>
      <c r="F27" s="20">
        <f>F19+F20+F21+F22+F23+F24+F25+F26</f>
        <v>6172.64</v>
      </c>
      <c r="G27" s="20">
        <f>G19+G20+G21+G22+G23+G24+G25+G26</f>
        <v>6260.035835616438</v>
      </c>
      <c r="H27" s="20">
        <f>H19+H20+H21+H22+H23+H24+H25+H26</f>
        <v>6353.129997808219</v>
      </c>
      <c r="I27" s="20">
        <f>I19+I20+I21+I22+I23+I24+I25+I26</f>
        <v>6445.622969041095</v>
      </c>
      <c r="J27" s="20">
        <f>J19+J20+J21+J22+J23+J24+J25+J26</f>
        <v>6836.88104705163</v>
      </c>
      <c r="K27" s="20">
        <f>K19+K20+K21+K22+K23+K24+K25+K26</f>
        <v>7364.555478886343</v>
      </c>
    </row>
    <row r="28">
      <c r="B28" t="inlineStr">
        <is>
          <t xml:space="preserve">Balance check (assets - liabilities and equity)</t>
        </is>
      </c>
      <c r="D28" s="22">
        <f>ROUND(D16-D27,6)</f>
        <v>0</v>
      </c>
      <c r="F28" s="22">
        <f>ROUND(F16-F27,6)</f>
        <v>0</v>
      </c>
      <c r="G28" s="22">
        <f>ROUND(G16-G27,6)</f>
        <v>0</v>
      </c>
      <c r="H28" s="22">
        <f>ROUND(H16-H27,6)</f>
        <v>0</v>
      </c>
      <c r="I28" s="22">
        <f>ROUND(I16-I27,6)</f>
        <v>0</v>
      </c>
      <c r="J28" s="22">
        <f>ROUND(J16-J27,6)</f>
        <v>0</v>
      </c>
      <c r="K28" s="22">
        <f>ROUND(K16-K27,6)</f>
        <v>0</v>
      </c>
    </row>
    <row r="30">
      <c r="B30" s="4" t="inlineStr">
        <is>
          <t xml:space="preserve">Memo</t>
        </is>
      </c>
    </row>
    <row r="31">
      <c r="B31" t="inlineStr">
        <is>
          <t xml:space="preserve">Trade working capital (receivables + inventory - payables)</t>
        </is>
      </c>
      <c r="F31" s="22">
        <f>F8+F9-F19</f>
        <v>216</v>
      </c>
      <c r="G31" s="22">
        <f>G8+G9-G19</f>
        <v>244.2657534246575</v>
      </c>
      <c r="H31" s="22">
        <f>H8+H9-H19</f>
        <v>275.8103999999999</v>
      </c>
      <c r="I31" s="22">
        <f>I8+I9-I19</f>
        <v>310.050560958904</v>
      </c>
      <c r="J31" s="22">
        <f>J8+J9-J19</f>
        <v>346.99215254794507</v>
      </c>
      <c r="K31" s="22">
        <f>K8+K9-K19</f>
        <v>386.8962500909588</v>
      </c>
    </row>
    <row r="32">
      <c r="B32" t="inlineStr">
        <is>
          <t xml:space="preserve">Total debt</t>
        </is>
      </c>
      <c r="G32" s="22">
        <f>G21+G22+G23+G24</f>
        <v>1554.0493098246575</v>
      </c>
      <c r="H32" s="22">
        <f>H21+H22+H23+H24</f>
        <v>1410.875634563581</v>
      </c>
      <c r="I32" s="22">
        <f>I21+I22+I23+I24</f>
        <v>1180.2977839876162</v>
      </c>
      <c r="J32" s="22">
        <f>J21+J22+J23+J24</f>
        <v>1148.0189862</v>
      </c>
      <c r="K32" s="22">
        <f>K21+K22+K23+K24</f>
        <v>1182.459555786</v>
      </c>
    </row>
    <row r="33">
      <c r="B33" s="14" t="inlineStr">
        <is>
          <t xml:space="preserve">Net debt</t>
        </is>
      </c>
      <c r="G33" s="20">
        <f>G32-G7</f>
        <v>1454.0493098246575</v>
      </c>
      <c r="H33" s="20">
        <f>H32-H7</f>
        <v>1310.875634563581</v>
      </c>
      <c r="I33" s="20">
        <f>I32-I7</f>
        <v>1080.2977839876162</v>
      </c>
      <c r="J33" s="20">
        <f>J32-J7</f>
        <v>758.1012221620683</v>
      </c>
      <c r="K33" s="20">
        <f>K32-K7</f>
        <v>378.76838175993134</v>
      </c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3864"/>
  </sheetPr>
  <dimension ref="A1:K20"/>
  <sheetViews>
    <sheetView showGridLines="0" zoomScale="90" workbookViewId="0">
      <pane xSplit="3" ySplit="5" topLeftCell="D6" activePane="bottomRight" state="frozen"/>
      <selection pane="bottomRight" activeCell="D6" sqref="D6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Cash flow statement</t>
        </is>
      </c>
    </row>
    <row r="3">
      <c r="B3" s="2" t="inlineStr">
        <is>
          <t xml:space="preserve">Indirect method. Closing cash feeds the balance sheet.</t>
        </is>
      </c>
    </row>
    <row r="5">
      <c r="B5" s="17" t="inlineStr">
        <is>
          <t xml:space="preserve">Cash flow statement</t>
        </is>
      </c>
      <c r="C5" s="16" t="inlineStr">
        <is>
          <t xml:space="preserve">INR crore</t>
        </is>
      </c>
      <c r="D5" s="16"/>
      <c r="E5" s="16"/>
      <c r="F5" s="16"/>
      <c r="G5" s="16" t="inlineStr">
        <is>
          <t xml:space="preserve">FY27E</t>
        </is>
      </c>
      <c r="H5" s="16" t="inlineStr">
        <is>
          <t xml:space="preserve">FY28E</t>
        </is>
      </c>
      <c r="I5" s="16" t="inlineStr">
        <is>
          <t xml:space="preserve">FY29E</t>
        </is>
      </c>
      <c r="J5" s="16" t="inlineStr">
        <is>
          <t xml:space="preserve">FY30E</t>
        </is>
      </c>
      <c r="K5" s="16" t="inlineStr">
        <is>
          <t xml:space="preserve">FY31E</t>
        </is>
      </c>
    </row>
    <row r="6">
      <c r="B6" t="inlineStr">
        <is>
          <t xml:space="preserve">Net income</t>
        </is>
      </c>
      <c r="G6" s="24">
        <f>IS!G20</f>
        <v>140.3684435999998</v>
      </c>
      <c r="H6" s="24">
        <f>IS!H20</f>
        <v>208.0296018364191</v>
      </c>
      <c r="I6" s="24">
        <f>IS!I20</f>
        <v>292.7663115348687</v>
      </c>
      <c r="J6" s="24">
        <f>IS!J20</f>
        <v>391.2236094145891</v>
      </c>
      <c r="K6" s="24">
        <f>IS!K20</f>
        <v>455.76294138515067</v>
      </c>
    </row>
    <row r="7">
      <c r="B7" t="inlineStr">
        <is>
          <t xml:space="preserve">Depreciation and amortisation</t>
        </is>
      </c>
      <c r="G7" s="24">
        <f>IS!G14</f>
        <v>67.8</v>
      </c>
      <c r="H7" s="24">
        <f>IS!H14</f>
        <v>76.61399999999998</v>
      </c>
      <c r="I7" s="24">
        <f>IS!I14</f>
        <v>86.19074999999998</v>
      </c>
      <c r="J7" s="24">
        <f>IS!J14</f>
        <v>96.53363999999998</v>
      </c>
      <c r="K7" s="24">
        <f>IS!K14</f>
        <v>107.63500859999998</v>
      </c>
    </row>
    <row r="8">
      <c r="B8" t="inlineStr">
        <is>
          <t xml:space="preserve">PIK interest (non-cash)</t>
        </is>
      </c>
      <c r="G8" s="24">
        <f>Debt!G43</f>
        <v>30.599999999999998</v>
      </c>
      <c r="H8" s="24">
        <f>Debt!H43</f>
        <v>31.517999999999997</v>
      </c>
      <c r="I8" s="24">
        <f>Debt!I43</f>
        <v>32.463539999999995</v>
      </c>
      <c r="J8" s="24">
        <f>Debt!J43</f>
        <v>33.4374462</v>
      </c>
      <c r="K8" s="24">
        <f>Debt!K43</f>
        <v>34.440569585999995</v>
      </c>
    </row>
    <row r="9">
      <c r="B9" t="inlineStr">
        <is>
          <t xml:space="preserve">Financing fee amortisation (non-cash)</t>
        </is>
      </c>
      <c r="G9" s="24">
        <f>Debt!G45</f>
        <v>6.5280000000000005</v>
      </c>
      <c r="H9" s="24">
        <f>Debt!H45</f>
        <v>6.5280000000000005</v>
      </c>
      <c r="I9" s="24">
        <f>Debt!I45</f>
        <v>6.5280000000000005</v>
      </c>
      <c r="J9" s="24">
        <f>Debt!J45</f>
        <v>6.5280000000000005</v>
      </c>
      <c r="K9" s="24">
        <f>Debt!K45</f>
        <v>6.5280000000000005</v>
      </c>
    </row>
    <row r="10">
      <c r="B10" t="inlineStr">
        <is>
          <t xml:space="preserve">(Increase) / decrease in working capital</t>
        </is>
      </c>
      <c r="G10" s="22">
        <f>-(BS!G31-BS!F31)</f>
        <v>-28.265753424657504</v>
      </c>
      <c r="H10" s="22">
        <f>-(BS!H31-BS!G31)</f>
        <v>-31.544646575342398</v>
      </c>
      <c r="I10" s="22">
        <f>-(BS!I31-BS!H31)</f>
        <v>-34.240160958904085</v>
      </c>
      <c r="J10" s="22">
        <f>-(BS!J31-BS!I31)</f>
        <v>-36.94159158904108</v>
      </c>
      <c r="K10" s="22">
        <f>-(BS!K31-BS!J31)</f>
        <v>-39.904097543013734</v>
      </c>
    </row>
    <row r="11">
      <c r="B11" s="14" t="inlineStr">
        <is>
          <t xml:space="preserve">Cash flow from operations</t>
        </is>
      </c>
      <c r="G11" s="20">
        <f>G6+G7+G8+G9+G10</f>
        <v>217.0306901753423</v>
      </c>
      <c r="H11" s="20">
        <f>H6+H7+H8+H9+H10</f>
        <v>291.1449552610767</v>
      </c>
      <c r="I11" s="20">
        <f>I6+I7+I8+I9+I10</f>
        <v>383.7084405759646</v>
      </c>
      <c r="J11" s="20">
        <f>J6+J7+J8+J9+J10</f>
        <v>490.78110402554796</v>
      </c>
      <c r="K11" s="20">
        <f>K6+K7+K8+K9+K10</f>
        <v>564.4624220281369</v>
      </c>
    </row>
    <row r="12">
      <c r="B12" t="inlineStr">
        <is>
          <t xml:space="preserve">Capital expenditure</t>
        </is>
      </c>
      <c r="G12" s="22">
        <f>-IS!G6*Inputs!G77</f>
        <v>-108.47999999999999</v>
      </c>
      <c r="H12" s="22">
        <f>-IS!H6*Inputs!H77</f>
        <v>-116.45327999999996</v>
      </c>
      <c r="I12" s="22">
        <f>-IS!I6*Inputs!I77</f>
        <v>-120.66704999999996</v>
      </c>
      <c r="J12" s="22">
        <f>-IS!J6*Inputs!J77</f>
        <v>-135.14709599999998</v>
      </c>
      <c r="K12" s="22">
        <f>-IS!K6*Inputs!K77</f>
        <v>-150.68901203999997</v>
      </c>
    </row>
    <row r="13">
      <c r="B13" s="14" t="inlineStr">
        <is>
          <t xml:space="preserve">Cash flow from investing</t>
        </is>
      </c>
      <c r="G13" s="20">
        <f>G12</f>
        <v>-108.47999999999999</v>
      </c>
      <c r="H13" s="20">
        <f>H12</f>
        <v>-116.45327999999996</v>
      </c>
      <c r="I13" s="20">
        <f>I12</f>
        <v>-120.66704999999996</v>
      </c>
      <c r="J13" s="20">
        <f>J12</f>
        <v>-135.14709599999998</v>
      </c>
      <c r="K13" s="20">
        <f>K12</f>
        <v>-150.68901203999997</v>
      </c>
    </row>
    <row r="14">
      <c r="B14" t="inlineStr">
        <is>
          <t xml:space="preserve">Revolver draw / (repayment)</t>
        </is>
      </c>
      <c r="G14" s="24">
        <f>Debt!G12</f>
        <v>-0</v>
      </c>
      <c r="H14" s="24">
        <f>Debt!H12</f>
        <v>-0</v>
      </c>
      <c r="I14" s="24">
        <f>Debt!I12</f>
        <v>-0</v>
      </c>
      <c r="J14" s="24">
        <f>Debt!J12</f>
        <v>-0</v>
      </c>
      <c r="K14" s="24">
        <f>Debt!K12</f>
        <v>-0</v>
      </c>
    </row>
    <row r="15">
      <c r="B15" t="inlineStr">
        <is>
          <t xml:space="preserve">Scheduled debt repayment</t>
        </is>
      </c>
      <c r="G15" s="24">
        <f>-Debt!G9</f>
        <v>-61.2</v>
      </c>
      <c r="H15" s="24">
        <f>-Debt!H9</f>
        <v>-61.2</v>
      </c>
      <c r="I15" s="24">
        <f>-Debt!I9</f>
        <v>-91.8</v>
      </c>
      <c r="J15" s="24">
        <f>-Debt!J9</f>
        <v>-65.71624398761628</v>
      </c>
      <c r="K15" s="24">
        <f>-Debt!K9</f>
        <v>-0</v>
      </c>
    </row>
    <row r="16">
      <c r="B16" t="inlineStr">
        <is>
          <t xml:space="preserve">Cash sweep prepayment</t>
        </is>
      </c>
      <c r="G16" s="24">
        <f>-Debt!G44</f>
        <v>-47.35069017534232</v>
      </c>
      <c r="H16" s="24">
        <f>-Debt!H44</f>
        <v>-113.49167526107675</v>
      </c>
      <c r="I16" s="24">
        <f>-Debt!I44</f>
        <v>-171.2413905759646</v>
      </c>
      <c r="J16" s="24">
        <f>-Debt!J44</f>
        <v>-0</v>
      </c>
      <c r="K16" s="24">
        <f>-Debt!K44</f>
        <v>-0</v>
      </c>
    </row>
    <row r="17">
      <c r="B17" s="14" t="inlineStr">
        <is>
          <t xml:space="preserve">Cash flow from financing</t>
        </is>
      </c>
      <c r="G17" s="20">
        <f>G14+G15+G16</f>
        <v>-108.55069017534233</v>
      </c>
      <c r="H17" s="20">
        <f>H14+H15+H16</f>
        <v>-174.69167526107674</v>
      </c>
      <c r="I17" s="20">
        <f>I14+I15+I16</f>
        <v>-263.0413905759646</v>
      </c>
      <c r="J17" s="20">
        <f>J14+J15+J16</f>
        <v>-65.71624398761628</v>
      </c>
      <c r="K17" s="20">
        <f>K14+K15+K16</f>
        <v>-0</v>
      </c>
    </row>
    <row r="18">
      <c r="B18" s="14" t="inlineStr">
        <is>
          <t xml:space="preserve">Net change in cash</t>
        </is>
      </c>
      <c r="G18" s="20">
        <f>G11+G13+G17</f>
        <v>-1.4210854715202004e-14</v>
      </c>
      <c r="H18" s="20">
        <f>H11+H13+H17</f>
        <v>0</v>
      </c>
      <c r="I18" s="20">
        <f>I11+I13+I17</f>
        <v>0</v>
      </c>
      <c r="J18" s="20">
        <f>J11+J13+J17</f>
        <v>289.9177640379317</v>
      </c>
      <c r="K18" s="20">
        <f>K11+K13+K17</f>
        <v>413.7734099881369</v>
      </c>
    </row>
    <row r="19">
      <c r="B19" t="inlineStr">
        <is>
          <t xml:space="preserve">Opening cash</t>
        </is>
      </c>
      <c r="G19" s="24">
        <f>BS!F7</f>
        <v>100</v>
      </c>
      <c r="H19" s="24">
        <f>BS!G7</f>
        <v>99.99999999999999</v>
      </c>
      <c r="I19" s="24">
        <f>BS!H7</f>
        <v>99.99999999999999</v>
      </c>
      <c r="J19" s="24">
        <f>BS!I7</f>
        <v>99.99999999999999</v>
      </c>
      <c r="K19" s="24">
        <f>BS!J7</f>
        <v>389.9177640379317</v>
      </c>
    </row>
    <row r="20">
      <c r="B20" s="14" t="inlineStr">
        <is>
          <t xml:space="preserve">Closing cash</t>
        </is>
      </c>
      <c r="G20" s="23">
        <f>G19+G18</f>
        <v>99.99999999999999</v>
      </c>
      <c r="H20" s="23">
        <f>H19+H18</f>
        <v>99.99999999999999</v>
      </c>
      <c r="I20" s="23">
        <f>I19+I18</f>
        <v>99.99999999999999</v>
      </c>
      <c r="J20" s="23">
        <f>J19+J18</f>
        <v>389.9177640379317</v>
      </c>
      <c r="K20" s="23">
        <f>K19+K18</f>
        <v>803.6911740260687</v>
      </c>
    </row>
  </sheetData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3864"/>
  </sheetPr>
  <dimension ref="A1:K47"/>
  <sheetViews>
    <sheetView showGridLines="0" zoomScale="90" workbookViewId="0">
      <pane xSplit="3" ySplit="5" topLeftCell="D6" activePane="bottomRight" state="frozen"/>
      <selection pane="bottomRight" activeCell="D6" sqref="D6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Debt schedule and cash sweep</t>
        </is>
      </c>
    </row>
    <row r="3">
      <c r="B3" s="2" t="inlineStr">
        <is>
          <t xml:space="preserve">Interest accrues on opening balances (no circularity). The revolver funds shortfalls; excess cash repays sweepable debt in order.</t>
        </is>
      </c>
    </row>
    <row r="5">
      <c r="B5" s="17" t="inlineStr">
        <is>
          <t xml:space="preserve">Cash available for debt service</t>
        </is>
      </c>
      <c r="C5" s="16" t="inlineStr">
        <is>
          <t xml:space="preserve">INR crore</t>
        </is>
      </c>
      <c r="D5" s="16"/>
      <c r="E5" s="16"/>
      <c r="F5" s="16"/>
      <c r="G5" s="16" t="inlineStr">
        <is>
          <t xml:space="preserve">FY27E</t>
        </is>
      </c>
      <c r="H5" s="16" t="inlineStr">
        <is>
          <t xml:space="preserve">FY28E</t>
        </is>
      </c>
      <c r="I5" s="16" t="inlineStr">
        <is>
          <t xml:space="preserve">FY29E</t>
        </is>
      </c>
      <c r="J5" s="16" t="inlineStr">
        <is>
          <t xml:space="preserve">FY30E</t>
        </is>
      </c>
      <c r="K5" s="16" t="inlineStr">
        <is>
          <t xml:space="preserve">FY31E</t>
        </is>
      </c>
    </row>
    <row r="6">
      <c r="B6" t="inlineStr">
        <is>
          <t xml:space="preserve">Opening cash</t>
        </is>
      </c>
      <c r="G6" s="24">
        <f>BS!F7</f>
        <v>100</v>
      </c>
      <c r="H6" s="24">
        <f>BS!G7</f>
        <v>99.99999999999999</v>
      </c>
      <c r="I6" s="24">
        <f>BS!H7</f>
        <v>99.99999999999999</v>
      </c>
      <c r="J6" s="24">
        <f>BS!I7</f>
        <v>99.99999999999999</v>
      </c>
      <c r="K6" s="24">
        <f>BS!J7</f>
        <v>389.9177640379317</v>
      </c>
    </row>
    <row r="7">
      <c r="B7" t="inlineStr">
        <is>
          <t xml:space="preserve">Cash flow from operations</t>
        </is>
      </c>
      <c r="G7" s="24">
        <f>CF!G11</f>
        <v>217.0306901753423</v>
      </c>
      <c r="H7" s="24">
        <f>CF!H11</f>
        <v>291.1449552610767</v>
      </c>
      <c r="I7" s="24">
        <f>CF!I11</f>
        <v>383.7084405759646</v>
      </c>
      <c r="J7" s="24">
        <f>CF!J11</f>
        <v>490.78110402554796</v>
      </c>
      <c r="K7" s="24">
        <f>CF!K11</f>
        <v>564.4624220281369</v>
      </c>
    </row>
    <row r="8">
      <c r="B8" t="inlineStr">
        <is>
          <t xml:space="preserve">Cash flow from investing</t>
        </is>
      </c>
      <c r="G8" s="24">
        <f>CF!G13</f>
        <v>-108.47999999999999</v>
      </c>
      <c r="H8" s="24">
        <f>CF!H13</f>
        <v>-116.45327999999996</v>
      </c>
      <c r="I8" s="24">
        <f>CF!I13</f>
        <v>-120.66704999999996</v>
      </c>
      <c r="J8" s="24">
        <f>CF!J13</f>
        <v>-135.14709599999998</v>
      </c>
      <c r="K8" s="24">
        <f>CF!K13</f>
        <v>-150.68901203999997</v>
      </c>
    </row>
    <row r="9">
      <c r="B9" t="inlineStr">
        <is>
          <t xml:space="preserve">Scheduled repayments</t>
        </is>
      </c>
      <c r="G9" s="22">
        <f>G27+G36</f>
        <v>61.2</v>
      </c>
      <c r="H9" s="22">
        <f>H27+H36</f>
        <v>61.2</v>
      </c>
      <c r="I9" s="22">
        <f>I27+I36</f>
        <v>91.8</v>
      </c>
      <c r="J9" s="22">
        <f>J27+J36</f>
        <v>65.71624398761628</v>
      </c>
      <c r="K9" s="22">
        <f>K27+K36</f>
        <v>0</v>
      </c>
    </row>
    <row r="10">
      <c r="B10" t="inlineStr">
        <is>
          <t xml:space="preserve">Minimum cash</t>
        </is>
      </c>
      <c r="G10" s="22">
        <f>Min_Cash</f>
        <v>100</v>
      </c>
      <c r="H10" s="22">
        <f>Min_Cash</f>
        <v>100</v>
      </c>
      <c r="I10" s="22">
        <f>Min_Cash</f>
        <v>100</v>
      </c>
      <c r="J10" s="22">
        <f>Min_Cash</f>
        <v>100</v>
      </c>
      <c r="K10" s="22">
        <f>Min_Cash</f>
        <v>100</v>
      </c>
    </row>
    <row r="11">
      <c r="B11" s="14" t="inlineStr">
        <is>
          <t xml:space="preserve">Cash available after scheduled debt service</t>
        </is>
      </c>
      <c r="G11" s="20">
        <f>G6+G7+G8-G9-G10</f>
        <v>47.35069017534232</v>
      </c>
      <c r="H11" s="20">
        <f>H6+H7+H8-H9-H10</f>
        <v>113.49167526107675</v>
      </c>
      <c r="I11" s="20">
        <f>I6+I7+I8-I9-I10</f>
        <v>171.2413905759646</v>
      </c>
      <c r="J11" s="20">
        <f>J6+J7+J8-J9-J10</f>
        <v>289.9177640379317</v>
      </c>
      <c r="K11" s="20">
        <f>K6+K7+K8-K9-K10</f>
        <v>703.6911740260686</v>
      </c>
    </row>
    <row r="12">
      <c r="B12" t="inlineStr">
        <is>
          <t xml:space="preserve">Revolver draw / (repayment)</t>
        </is>
      </c>
      <c r="G12" s="22">
        <f>MIN(MAX(-G11,-G17),Rev_Commitment-G17)</f>
        <v>-0</v>
      </c>
      <c r="H12" s="22">
        <f>MIN(MAX(-H11,-H17),Rev_Commitment-H17)</f>
        <v>-0</v>
      </c>
      <c r="I12" s="22">
        <f>MIN(MAX(-I11,-I17),Rev_Commitment-I17)</f>
        <v>-0</v>
      </c>
      <c r="J12" s="22">
        <f>MIN(MAX(-J11,-J17),Rev_Commitment-J17)</f>
        <v>-0</v>
      </c>
      <c r="K12" s="22">
        <f>MIN(MAX(-K11,-K17),Rev_Commitment-K17)</f>
        <v>-0</v>
      </c>
    </row>
    <row r="13">
      <c r="B13" t="inlineStr">
        <is>
          <t xml:space="preserve">Cash after revolver</t>
        </is>
      </c>
      <c r="G13" s="22">
        <f>G11+G12</f>
        <v>47.35069017534232</v>
      </c>
      <c r="H13" s="22">
        <f>H11+H12</f>
        <v>113.49167526107675</v>
      </c>
      <c r="I13" s="22">
        <f>I11+I12</f>
        <v>171.2413905759646</v>
      </c>
      <c r="J13" s="22">
        <f>J11+J12</f>
        <v>289.9177640379317</v>
      </c>
      <c r="K13" s="22">
        <f>K11+K12</f>
        <v>703.6911740260686</v>
      </c>
    </row>
    <row r="14">
      <c r="B14" s="14" t="inlineStr">
        <is>
          <t xml:space="preserve">Cash available for the sweep</t>
        </is>
      </c>
      <c r="G14" s="20">
        <f>MAX(0,G13)*Sweep_Pct</f>
        <v>47.35069017534232</v>
      </c>
      <c r="H14" s="20">
        <f>MAX(0,H13)*Sweep_Pct</f>
        <v>113.49167526107675</v>
      </c>
      <c r="I14" s="20">
        <f>MAX(0,I13)*Sweep_Pct</f>
        <v>171.2413905759646</v>
      </c>
      <c r="J14" s="20">
        <f>MAX(0,J13)*Sweep_Pct</f>
        <v>289.9177640379317</v>
      </c>
      <c r="K14" s="20">
        <f>MAX(0,K13)*Sweep_Pct</f>
        <v>703.6911740260686</v>
      </c>
    </row>
    <row r="16">
      <c r="B16" s="4" t="inlineStr">
        <is>
          <t xml:space="preserve">Revolver</t>
        </is>
      </c>
    </row>
    <row r="17">
      <c r="B17" t="inlineStr">
        <is>
          <t xml:space="preserve">Opening balance</t>
        </is>
      </c>
      <c r="G17" s="24">
        <f>BS!F21</f>
        <v>0</v>
      </c>
      <c r="H17" s="24">
        <f>BS!G21</f>
        <v>0</v>
      </c>
      <c r="I17" s="24">
        <f>BS!H21</f>
        <v>0</v>
      </c>
      <c r="J17" s="24">
        <f>BS!I21</f>
        <v>0</v>
      </c>
      <c r="K17" s="24">
        <f>BS!J21</f>
        <v>0</v>
      </c>
    </row>
    <row r="18">
      <c r="B18" t="inlineStr">
        <is>
          <t xml:space="preserve">Draw / (repayment)</t>
        </is>
      </c>
      <c r="G18" s="22">
        <f>G12</f>
        <v>-0</v>
      </c>
      <c r="H18" s="22">
        <f>H12</f>
        <v>-0</v>
      </c>
      <c r="I18" s="22">
        <f>I12</f>
        <v>-0</v>
      </c>
      <c r="J18" s="22">
        <f>J12</f>
        <v>-0</v>
      </c>
      <c r="K18" s="22">
        <f>K12</f>
        <v>-0</v>
      </c>
    </row>
    <row r="19">
      <c r="B19" s="14" t="inlineStr">
        <is>
          <t xml:space="preserve">Closing balance</t>
        </is>
      </c>
      <c r="G19" s="20">
        <f>G17+G18</f>
        <v>0</v>
      </c>
      <c r="H19" s="20">
        <f>H17+H18</f>
        <v>0</v>
      </c>
      <c r="I19" s="20">
        <f>I17+I18</f>
        <v>0</v>
      </c>
      <c r="J19" s="20">
        <f>J17+J18</f>
        <v>0</v>
      </c>
      <c r="K19" s="20">
        <f>K17+K18</f>
        <v>0</v>
      </c>
    </row>
    <row r="20">
      <c r="B20" t="inlineStr">
        <is>
          <t xml:space="preserve">Interest</t>
        </is>
      </c>
      <c r="G20" s="22">
        <f>G17*Rev_Rate</f>
        <v>0</v>
      </c>
      <c r="H20" s="22">
        <f>H17*Rev_Rate</f>
        <v>0</v>
      </c>
      <c r="I20" s="22">
        <f>I17*Rev_Rate</f>
        <v>0</v>
      </c>
      <c r="J20" s="22">
        <f>J17*Rev_Rate</f>
        <v>0</v>
      </c>
      <c r="K20" s="22">
        <f>K17*Rev_Rate</f>
        <v>0</v>
      </c>
    </row>
    <row r="21">
      <c r="B21" t="inlineStr">
        <is>
          <t xml:space="preserve">Undrawn commitment fee</t>
        </is>
      </c>
      <c r="G21" s="22">
        <f>(Rev_Commitment-G17)*Rev_Undrawn_Fee</f>
        <v>0.525</v>
      </c>
      <c r="H21" s="22">
        <f>(Rev_Commitment-H17)*Rev_Undrawn_Fee</f>
        <v>0.525</v>
      </c>
      <c r="I21" s="22">
        <f>(Rev_Commitment-I17)*Rev_Undrawn_Fee</f>
        <v>0.525</v>
      </c>
      <c r="J21" s="22">
        <f>(Rev_Commitment-J17)*Rev_Undrawn_Fee</f>
        <v>0.525</v>
      </c>
      <c r="K21" s="22">
        <f>(Rev_Commitment-K17)*Rev_Undrawn_Fee</f>
        <v>0.525</v>
      </c>
    </row>
    <row r="23">
      <c r="B23" s="4" t="inlineStr">
        <is>
          <t xml:space="preserve">OpCo senior term loan (amortizing)</t>
        </is>
      </c>
    </row>
    <row r="24">
      <c r="B24" t="inlineStr">
        <is>
          <t xml:space="preserve">Opening balance</t>
        </is>
      </c>
      <c r="G24" s="24">
        <f>BS!F23</f>
        <v>612</v>
      </c>
      <c r="H24" s="24">
        <f>BS!G23</f>
        <v>503.44930982465763</v>
      </c>
      <c r="I24" s="24">
        <f>BS!H23</f>
        <v>328.7576345635809</v>
      </c>
      <c r="J24" s="24">
        <f>BS!I23</f>
        <v>65.71624398761628</v>
      </c>
      <c r="K24" s="24">
        <f>BS!J23</f>
        <v>0</v>
      </c>
    </row>
    <row r="25">
      <c r="B25" t="inlineStr">
        <is>
          <t xml:space="preserve">Cash interest</t>
        </is>
      </c>
      <c r="G25" s="22">
        <f>G24*Inputs!$D$104</f>
        <v>56.61</v>
      </c>
      <c r="H25" s="22">
        <f>H24*Inputs!$D$104</f>
        <v>46.56906115878083</v>
      </c>
      <c r="I25" s="22">
        <f>I24*Inputs!$D$104</f>
        <v>30.410081197131234</v>
      </c>
      <c r="J25" s="22">
        <f>J24*Inputs!$D$104</f>
        <v>6.078752568854506</v>
      </c>
      <c r="K25" s="22">
        <f>K24*Inputs!$D$104</f>
        <v>0</v>
      </c>
    </row>
    <row r="26">
      <c r="B26" t="inlineStr">
        <is>
          <t xml:space="preserve">PIK interest</t>
        </is>
      </c>
      <c r="G26" s="22">
        <f>G24*Inputs!$D$105</f>
        <v>0</v>
      </c>
      <c r="H26" s="22">
        <f>H24*Inputs!$D$105</f>
        <v>0</v>
      </c>
      <c r="I26" s="22">
        <f>I24*Inputs!$D$105</f>
        <v>0</v>
      </c>
      <c r="J26" s="22">
        <f>J24*Inputs!$D$105</f>
        <v>0</v>
      </c>
      <c r="K26" s="22">
        <f>K24*Inputs!$D$105</f>
        <v>0</v>
      </c>
    </row>
    <row r="27">
      <c r="B27" t="inlineStr">
        <is>
          <t xml:space="preserve">Scheduled repayment</t>
        </is>
      </c>
      <c r="G27" s="22">
        <f>MIN(G24+G26,Inputs!G108*Deal!$D$15)</f>
        <v>61.2</v>
      </c>
      <c r="H27" s="22">
        <f>MIN(H24+H26,Inputs!H108*Deal!$D$15)</f>
        <v>61.2</v>
      </c>
      <c r="I27" s="22">
        <f>MIN(I24+I26,Inputs!I108*Deal!$D$15)</f>
        <v>91.8</v>
      </c>
      <c r="J27" s="22">
        <f>MIN(J24+J26,Inputs!J108*Deal!$D$15)</f>
        <v>65.71624398761628</v>
      </c>
      <c r="K27" s="22">
        <f>MIN(K24+K26,Inputs!K108*Deal!$D$15)</f>
        <v>0</v>
      </c>
    </row>
    <row r="28">
      <c r="B28" t="inlineStr">
        <is>
          <t xml:space="preserve">Sweep cash still available</t>
        </is>
      </c>
      <c r="G28" s="22">
        <f>G14</f>
        <v>47.35069017534232</v>
      </c>
      <c r="H28" s="22">
        <f>H14</f>
        <v>113.49167526107675</v>
      </c>
      <c r="I28" s="22">
        <f>I14</f>
        <v>171.2413905759646</v>
      </c>
      <c r="J28" s="22">
        <f>J14</f>
        <v>289.9177640379317</v>
      </c>
      <c r="K28" s="22">
        <f>K14</f>
        <v>703.6911740260686</v>
      </c>
    </row>
    <row r="29">
      <c r="B29" t="inlineStr">
        <is>
          <t xml:space="preserve">Sweep prepayment</t>
        </is>
      </c>
      <c r="G29" s="22">
        <f>IF(Inputs!$D$106=1,MIN(G28,G24+G26-G27),0)</f>
        <v>47.35069017534232</v>
      </c>
      <c r="H29" s="22">
        <f>IF(Inputs!$D$106=1,MIN(H28,H24+H26-H27),0)</f>
        <v>113.49167526107675</v>
      </c>
      <c r="I29" s="22">
        <f>IF(Inputs!$D$106=1,MIN(I28,I24+I26-I27),0)</f>
        <v>171.2413905759646</v>
      </c>
      <c r="J29" s="22">
        <f>IF(Inputs!$D$106=1,MIN(J28,J24+J26-J27),0)</f>
        <v>0</v>
      </c>
      <c r="K29" s="22">
        <f>IF(Inputs!$D$106=1,MIN(K28,K24+K26-K27),0)</f>
        <v>0</v>
      </c>
    </row>
    <row r="30">
      <c r="B30" s="14" t="inlineStr">
        <is>
          <t xml:space="preserve">Closing balance</t>
        </is>
      </c>
      <c r="G30" s="20">
        <f>G24+G26-G27-G29</f>
        <v>503.44930982465763</v>
      </c>
      <c r="H30" s="20">
        <f>H24+H26-H27-H29</f>
        <v>328.7576345635809</v>
      </c>
      <c r="I30" s="20">
        <f>I24+I26-I27-I29</f>
        <v>65.71624398761628</v>
      </c>
      <c r="J30" s="20">
        <f>J24+J26-J27-J29</f>
        <v>0</v>
      </c>
      <c r="K30" s="20">
        <f>K24+K26-K27-K29</f>
        <v>0</v>
      </c>
    </row>
    <row r="32">
      <c r="B32" s="4" t="inlineStr">
        <is>
          <t xml:space="preserve">HoldCo NCDs (private credit) (bullet)</t>
        </is>
      </c>
    </row>
    <row r="33">
      <c r="B33" t="inlineStr">
        <is>
          <t xml:space="preserve">Opening balance</t>
        </is>
      </c>
      <c r="G33" s="24">
        <f>BS!F24</f>
        <v>1020</v>
      </c>
      <c r="H33" s="24">
        <f>BS!G24</f>
        <v>1050.6</v>
      </c>
      <c r="I33" s="24">
        <f>BS!H24</f>
        <v>1082.118</v>
      </c>
      <c r="J33" s="24">
        <f>BS!I24</f>
        <v>1114.58154</v>
      </c>
      <c r="K33" s="24">
        <f>BS!J24</f>
        <v>1148.0189862</v>
      </c>
    </row>
    <row r="34">
      <c r="B34" t="inlineStr">
        <is>
          <t xml:space="preserve">Cash interest</t>
        </is>
      </c>
      <c r="G34" s="22">
        <f>G33*Inputs!$D$112</f>
        <v>112.2</v>
      </c>
      <c r="H34" s="22">
        <f>H33*Inputs!$D$112</f>
        <v>115.56599999999999</v>
      </c>
      <c r="I34" s="22">
        <f>I33*Inputs!$D$112</f>
        <v>119.03298</v>
      </c>
      <c r="J34" s="22">
        <f>J33*Inputs!$D$112</f>
        <v>122.6039694</v>
      </c>
      <c r="K34" s="22">
        <f>K33*Inputs!$D$112</f>
        <v>126.28208848199999</v>
      </c>
    </row>
    <row r="35">
      <c r="B35" t="inlineStr">
        <is>
          <t xml:space="preserve">PIK interest</t>
        </is>
      </c>
      <c r="G35" s="22">
        <f>G33*Inputs!$D$113</f>
        <v>30.599999999999998</v>
      </c>
      <c r="H35" s="22">
        <f>H33*Inputs!$D$113</f>
        <v>31.517999999999997</v>
      </c>
      <c r="I35" s="22">
        <f>I33*Inputs!$D$113</f>
        <v>32.463539999999995</v>
      </c>
      <c r="J35" s="22">
        <f>J33*Inputs!$D$113</f>
        <v>33.4374462</v>
      </c>
      <c r="K35" s="22">
        <f>K33*Inputs!$D$113</f>
        <v>34.440569585999995</v>
      </c>
    </row>
    <row r="36">
      <c r="B36" t="inlineStr">
        <is>
          <t xml:space="preserve">Scheduled repayment</t>
        </is>
      </c>
      <c r="G36" s="22">
        <f>MIN(G33+G35,Inputs!G116*Deal!$D$16)</f>
        <v>0</v>
      </c>
      <c r="H36" s="22">
        <f>MIN(H33+H35,Inputs!H116*Deal!$D$16)</f>
        <v>0</v>
      </c>
      <c r="I36" s="22">
        <f>MIN(I33+I35,Inputs!I116*Deal!$D$16)</f>
        <v>0</v>
      </c>
      <c r="J36" s="22">
        <f>MIN(J33+J35,Inputs!J116*Deal!$D$16)</f>
        <v>0</v>
      </c>
      <c r="K36" s="22">
        <f>MIN(K33+K35,Inputs!K116*Deal!$D$16)</f>
        <v>0</v>
      </c>
    </row>
    <row r="37">
      <c r="B37" t="inlineStr">
        <is>
          <t xml:space="preserve">Sweep cash still available</t>
        </is>
      </c>
      <c r="G37" s="22">
        <f>G28-G29</f>
        <v>0</v>
      </c>
      <c r="H37" s="22">
        <f>H28-H29</f>
        <v>0</v>
      </c>
      <c r="I37" s="22">
        <f>I28-I29</f>
        <v>0</v>
      </c>
      <c r="J37" s="22">
        <f>J28-J29</f>
        <v>289.9177640379317</v>
      </c>
      <c r="K37" s="22">
        <f>K28-K29</f>
        <v>703.6911740260686</v>
      </c>
    </row>
    <row r="38">
      <c r="B38" t="inlineStr">
        <is>
          <t xml:space="preserve">Sweep prepayment</t>
        </is>
      </c>
      <c r="G38" s="22">
        <f>IF(Inputs!$D$114=1,MIN(G37,G33+G35-G36),0)</f>
        <v>0</v>
      </c>
      <c r="H38" s="22">
        <f>IF(Inputs!$D$114=1,MIN(H37,H33+H35-H36),0)</f>
        <v>0</v>
      </c>
      <c r="I38" s="22">
        <f>IF(Inputs!$D$114=1,MIN(I37,I33+I35-I36),0)</f>
        <v>0</v>
      </c>
      <c r="J38" s="22">
        <f>IF(Inputs!$D$114=1,MIN(J37,J33+J35-J36),0)</f>
        <v>0</v>
      </c>
      <c r="K38" s="22">
        <f>IF(Inputs!$D$114=1,MIN(K37,K33+K35-K36),0)</f>
        <v>0</v>
      </c>
    </row>
    <row r="39">
      <c r="B39" s="14" t="inlineStr">
        <is>
          <t xml:space="preserve">Closing balance</t>
        </is>
      </c>
      <c r="G39" s="20">
        <f>G33+G35-G36-G38</f>
        <v>1050.6</v>
      </c>
      <c r="H39" s="20">
        <f>H33+H35-H36-H38</f>
        <v>1082.118</v>
      </c>
      <c r="I39" s="20">
        <f>I33+I35-I36-I38</f>
        <v>1114.58154</v>
      </c>
      <c r="J39" s="20">
        <f>J33+J35-J36-J38</f>
        <v>1148.0189862</v>
      </c>
      <c r="K39" s="20">
        <f>K33+K35-K36-K38</f>
        <v>1182.459555786</v>
      </c>
    </row>
    <row r="41">
      <c r="B41" s="4" t="inlineStr">
        <is>
          <t xml:space="preserve">Interest summary</t>
        </is>
      </c>
    </row>
    <row r="42">
      <c r="B42" t="inlineStr">
        <is>
          <t xml:space="preserve">Cash interest on term debt</t>
        </is>
      </c>
      <c r="G42" s="22">
        <f>G25+G34</f>
        <v>168.81</v>
      </c>
      <c r="H42" s="22">
        <f>H25+H34</f>
        <v>162.13506115878081</v>
      </c>
      <c r="I42" s="22">
        <f>I25+I34</f>
        <v>149.44306119713121</v>
      </c>
      <c r="J42" s="22">
        <f>J25+J34</f>
        <v>128.6827219688545</v>
      </c>
      <c r="K42" s="22">
        <f>K25+K34</f>
        <v>126.28208848199999</v>
      </c>
    </row>
    <row r="43">
      <c r="B43" t="inlineStr">
        <is>
          <t xml:space="preserve">PIK interest</t>
        </is>
      </c>
      <c r="G43" s="22">
        <f>G26+G35</f>
        <v>30.599999999999998</v>
      </c>
      <c r="H43" s="22">
        <f>H26+H35</f>
        <v>31.517999999999997</v>
      </c>
      <c r="I43" s="22">
        <f>I26+I35</f>
        <v>32.463539999999995</v>
      </c>
      <c r="J43" s="22">
        <f>J26+J35</f>
        <v>33.4374462</v>
      </c>
      <c r="K43" s="22">
        <f>K26+K35</f>
        <v>34.440569585999995</v>
      </c>
    </row>
    <row r="44">
      <c r="B44" t="inlineStr">
        <is>
          <t xml:space="preserve">Total sweep prepayment</t>
        </is>
      </c>
      <c r="G44" s="22">
        <f>G29+G38</f>
        <v>47.35069017534232</v>
      </c>
      <c r="H44" s="22">
        <f>H29+H38</f>
        <v>113.49167526107675</v>
      </c>
      <c r="I44" s="22">
        <f>I29+I38</f>
        <v>171.2413905759646</v>
      </c>
      <c r="J44" s="22">
        <f>J29+J38</f>
        <v>0</v>
      </c>
      <c r="K44" s="22">
        <f>K29+K38</f>
        <v>0</v>
      </c>
    </row>
    <row r="45">
      <c r="B45" t="inlineStr">
        <is>
          <t xml:space="preserve">Financing fee amortisation</t>
        </is>
      </c>
      <c r="G45" s="22">
        <f>MIN(BS!F15,Deal!$D$20/Fee_Amort_Years)</f>
        <v>6.5280000000000005</v>
      </c>
      <c r="H45" s="22">
        <f>MIN(BS!G15,Deal!$D$20/Fee_Amort_Years)</f>
        <v>6.5280000000000005</v>
      </c>
      <c r="I45" s="22">
        <f>MIN(BS!H15,Deal!$D$20/Fee_Amort_Years)</f>
        <v>6.5280000000000005</v>
      </c>
      <c r="J45" s="22">
        <f>MIN(BS!I15,Deal!$D$20/Fee_Amort_Years)</f>
        <v>6.5280000000000005</v>
      </c>
      <c r="K45" s="22">
        <f>MIN(BS!J15,Deal!$D$20/Fee_Amort_Years)</f>
        <v>6.5280000000000005</v>
      </c>
    </row>
    <row r="46">
      <c r="B46" s="14" t="inlineStr">
        <is>
          <t xml:space="preserve">Finance cost (to income statement)</t>
        </is>
      </c>
      <c r="G46" s="20">
        <f>G42+G43+G20+G21+G45</f>
        <v>206.463</v>
      </c>
      <c r="H46" s="20">
        <f>H42+H43+H20+H21+H45</f>
        <v>200.7060611587808</v>
      </c>
      <c r="I46" s="20">
        <f>I42+I43+I20+I21+I45</f>
        <v>188.9596011971312</v>
      </c>
      <c r="J46" s="20">
        <f>J42+J43+J20+J21+J45</f>
        <v>169.1731681688545</v>
      </c>
      <c r="K46" s="20">
        <f>K42+K43+K20+K21+K45</f>
        <v>167.77565806799998</v>
      </c>
    </row>
    <row r="47">
      <c r="B47" t="inlineStr">
        <is>
          <t xml:space="preserve">Interest income on opening cash</t>
        </is>
      </c>
      <c r="G47" s="22">
        <f>G6*Cash_Yield</f>
        <v>6</v>
      </c>
      <c r="H47" s="22">
        <f>H6*Cash_Yield</f>
        <v>5.999999999999999</v>
      </c>
      <c r="I47" s="22">
        <f>I6*Cash_Yield</f>
        <v>5.999999999999999</v>
      </c>
      <c r="J47" s="22">
        <f>J6*Cash_Yield</f>
        <v>5.999999999999999</v>
      </c>
      <c r="K47" s="22">
        <f>K6*Cash_Yield</f>
        <v>23.3950658422759</v>
      </c>
    </row>
  </sheetData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3864"/>
  </sheetPr>
  <dimension ref="A1:D44"/>
  <sheetViews>
    <sheetView showGridLines="0" zoomScale="9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Transaction: sources and uses</t>
        </is>
      </c>
    </row>
    <row r="3">
      <c r="B3" s="2" t="inlineStr">
        <is>
          <t xml:space="preserve">Assumed close on the FY26 balance sheet date. Sponsor equity is the balancing source.</t>
        </is>
      </c>
    </row>
    <row r="5">
      <c r="B5" s="4" t="inlineStr">
        <is>
          <t xml:space="preserve">Purchase price</t>
        </is>
      </c>
    </row>
    <row r="6">
      <c r="B6" s="14" t="inlineStr">
        <is>
          <t xml:space="preserve">Offer price per share</t>
        </is>
      </c>
      <c r="D6" s="26">
        <f>Unaffected_Price*(1+Offer_Premium)</f>
        <v>475</v>
      </c>
    </row>
    <row r="7">
      <c r="B7" t="inlineStr">
        <is>
          <t xml:space="preserve">Equity purchase price</t>
        </is>
      </c>
      <c r="D7" s="22">
        <f>$D$6*Diluted_Shares</f>
        <v>5700</v>
      </c>
    </row>
    <row r="8">
      <c r="B8" t="inlineStr">
        <is>
          <t xml:space="preserve">Plus: existing debt</t>
        </is>
      </c>
      <c r="D8" s="24">
        <f>BS!$D$22</f>
        <v>200</v>
      </c>
    </row>
    <row r="9">
      <c r="B9" t="inlineStr">
        <is>
          <t xml:space="preserve">Less: existing cash</t>
        </is>
      </c>
      <c r="D9" s="24">
        <f>BS!$D$7</f>
        <v>260</v>
      </c>
    </row>
    <row r="10">
      <c r="B10" s="14" t="inlineStr">
        <is>
          <t xml:space="preserve">Entry enterprise value</t>
        </is>
      </c>
      <c r="D10" s="20">
        <f>$D$7+$D$8-$D$9</f>
        <v>5640</v>
      </c>
    </row>
    <row r="11">
      <c r="B11" t="inlineStr">
        <is>
          <t xml:space="preserve">LTM EBITDA (FY26A)</t>
        </is>
      </c>
      <c r="D11" s="24">
        <f>IS!$F$12</f>
        <v>408</v>
      </c>
    </row>
    <row r="12">
      <c r="B12" s="14" t="inlineStr">
        <is>
          <t xml:space="preserve">Entry EV / LTM EBITDA</t>
        </is>
      </c>
      <c r="D12" s="27">
        <f>$D$10/$D$11</f>
        <v>13.823529411764707</v>
      </c>
    </row>
    <row r="14">
      <c r="B14" s="4" t="inlineStr">
        <is>
          <t xml:space="preserve">Debt raised</t>
        </is>
      </c>
    </row>
    <row r="15">
      <c r="B15" t="inlineStr">
        <is>
          <t xml:space="preserve">OpCo senior term loan</t>
        </is>
      </c>
      <c r="D15" s="22">
        <f>Inputs!$D$103*Leverage_Scale*$D$11</f>
        <v>612</v>
      </c>
    </row>
    <row r="16">
      <c r="B16" t="inlineStr">
        <is>
          <t xml:space="preserve">HoldCo NCDs (private credit)</t>
        </is>
      </c>
      <c r="D16" s="22">
        <f>Inputs!$D$111*Leverage_Scale*$D$11</f>
        <v>1020</v>
      </c>
    </row>
    <row r="17">
      <c r="B17" s="14" t="inlineStr">
        <is>
          <t xml:space="preserve">Total debt raised</t>
        </is>
      </c>
      <c r="D17" s="20">
        <f>$D$15+$D$16</f>
        <v>1632</v>
      </c>
    </row>
    <row r="18">
      <c r="B18" t="inlineStr">
        <is>
          <t xml:space="preserve">Total debt / LTM EBITDA</t>
        </is>
      </c>
      <c r="D18" s="28">
        <f>$D$17/$D$11</f>
        <v>4</v>
      </c>
    </row>
    <row r="19">
      <c r="B19" t="inlineStr">
        <is>
          <t xml:space="preserve">Transaction fees</t>
        </is>
      </c>
      <c r="D19" s="22">
        <f>Txn_Fee_Pct*$D$10</f>
        <v>84.6</v>
      </c>
    </row>
    <row r="20">
      <c r="B20" t="inlineStr">
        <is>
          <t xml:space="preserve">Financing fees (capitalised, amortised)</t>
        </is>
      </c>
      <c r="D20" s="22">
        <f>Fin_Fee_Pct*$D$17</f>
        <v>32.64</v>
      </c>
    </row>
    <row r="21">
      <c r="B21" t="inlineStr">
        <is>
          <t xml:space="preserve">Existing cash used (above minimum cash)</t>
        </is>
      </c>
      <c r="D21" s="22">
        <f>$D$9-Min_Cash</f>
        <v>160</v>
      </c>
    </row>
    <row r="22">
      <c r="B22" t="inlineStr">
        <is>
          <t xml:space="preserve">Rollover equity</t>
        </is>
      </c>
      <c r="D22" s="22">
        <f>Rollover_Pct*$D$7</f>
        <v>570</v>
      </c>
    </row>
    <row r="24">
      <c r="B24" s="4" t="inlineStr">
        <is>
          <t xml:space="preserve">Uses</t>
        </is>
      </c>
    </row>
    <row r="25">
      <c r="B25" t="inlineStr">
        <is>
          <t xml:space="preserve">Purchase of equity</t>
        </is>
      </c>
      <c r="D25" s="22">
        <f>$D$7</f>
        <v>5700</v>
      </c>
    </row>
    <row r="26">
      <c r="B26" t="inlineStr">
        <is>
          <t xml:space="preserve">Refinance existing debt</t>
        </is>
      </c>
      <c r="D26" s="22">
        <f>$D$8</f>
        <v>200</v>
      </c>
    </row>
    <row r="27">
      <c r="B27" t="inlineStr">
        <is>
          <t xml:space="preserve">Transaction fees</t>
        </is>
      </c>
      <c r="D27" s="22">
        <f>$D$19</f>
        <v>84.6</v>
      </c>
    </row>
    <row r="28">
      <c r="B28" t="inlineStr">
        <is>
          <t xml:space="preserve">Financing fees</t>
        </is>
      </c>
      <c r="D28" s="22">
        <f>$D$20</f>
        <v>32.64</v>
      </c>
    </row>
    <row r="29">
      <c r="B29" s="14" t="inlineStr">
        <is>
          <t xml:space="preserve">Total uses</t>
        </is>
      </c>
      <c r="D29" s="20">
        <f>$D$25+$D$26+$D$27+$D$28</f>
        <v>6017.240000000001</v>
      </c>
    </row>
    <row r="31">
      <c r="B31" s="4" t="inlineStr">
        <is>
          <t xml:space="preserve">Sources</t>
        </is>
      </c>
    </row>
    <row r="32">
      <c r="B32" t="inlineStr">
        <is>
          <t xml:space="preserve">OpCo senior term loan</t>
        </is>
      </c>
      <c r="D32" s="22">
        <f>$D$15</f>
        <v>612</v>
      </c>
    </row>
    <row r="33">
      <c r="B33" t="inlineStr">
        <is>
          <t xml:space="preserve">HoldCo NCDs (private credit)</t>
        </is>
      </c>
      <c r="D33" s="22">
        <f>$D$16</f>
        <v>1020</v>
      </c>
    </row>
    <row r="34">
      <c r="B34" t="inlineStr">
        <is>
          <t xml:space="preserve">Existing cash used</t>
        </is>
      </c>
      <c r="D34" s="22">
        <f>$D$21</f>
        <v>160</v>
      </c>
    </row>
    <row r="35">
      <c r="B35" t="inlineStr">
        <is>
          <t xml:space="preserve">Rollover equity</t>
        </is>
      </c>
      <c r="D35" s="22">
        <f>$D$22</f>
        <v>570</v>
      </c>
    </row>
    <row r="36">
      <c r="B36" s="14" t="inlineStr">
        <is>
          <t xml:space="preserve">Sponsor equity (plug)</t>
        </is>
      </c>
      <c r="D36" s="23">
        <f>$D$29-$D$17-$D$22-$D$21</f>
        <v>3655.2400000000007</v>
      </c>
    </row>
    <row r="37">
      <c r="B37" s="14" t="inlineStr">
        <is>
          <t xml:space="preserve">Total sources</t>
        </is>
      </c>
      <c r="D37" s="20">
        <f>$D$32+$D$33+$D$34+$D$35+$D$36</f>
        <v>6017.240000000001</v>
      </c>
    </row>
    <row r="38">
      <c r="B38" t="inlineStr">
        <is>
          <t xml:space="preserve">Sources - uses</t>
        </is>
      </c>
      <c r="D38" s="22">
        <f>$D$37-$D$29</f>
        <v>0</v>
      </c>
    </row>
    <row r="40">
      <c r="B40" s="4" t="inlineStr">
        <is>
          <t xml:space="preserve">Equity and goodwill</t>
        </is>
      </c>
    </row>
    <row r="41">
      <c r="B41" t="inlineStr">
        <is>
          <t xml:space="preserve">Total equity (sponsor + rollover)</t>
        </is>
      </c>
      <c r="D41" s="22">
        <f>$D$36+$D$22</f>
        <v>4225.240000000001</v>
      </c>
    </row>
    <row r="42">
      <c r="B42" t="inlineStr">
        <is>
          <t xml:space="preserve">Equity contribution (% of capitalisation)</t>
        </is>
      </c>
      <c r="D42" s="21">
        <f>$D$41/($D$41+$D$17)</f>
        <v>0.7213704748311491</v>
      </c>
    </row>
    <row r="43">
      <c r="B43" t="inlineStr">
        <is>
          <t xml:space="preserve">Net debt at close</t>
        </is>
      </c>
      <c r="D43" s="22">
        <f>$D$17-Min_Cash</f>
        <v>1532</v>
      </c>
    </row>
    <row r="44">
      <c r="B44" t="inlineStr">
        <is>
          <t xml:space="preserve">Goodwill (equity price - book equity; no PPA write-ups)</t>
        </is>
      </c>
      <c r="D44" s="22">
        <f>$D$7-BS!$D$26</f>
        <v>4424</v>
      </c>
    </row>
  </sheetData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F3864"/>
  </sheetPr>
  <dimension ref="A1:K48"/>
  <sheetViews>
    <sheetView showGridLines="0" zoomScale="9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Returns, value creation and covenants</t>
        </is>
      </c>
    </row>
    <row r="3">
      <c r="B3" s="2" t="inlineStr">
        <is>
          <t xml:space="preserve">Exit at the live multiple in the holding-period year.</t>
        </is>
      </c>
    </row>
    <row r="5">
      <c r="B5" s="4" t="inlineStr">
        <is>
          <t xml:space="preserve">Exit</t>
        </is>
      </c>
    </row>
    <row r="6">
      <c r="B6" t="inlineStr">
        <is>
          <t xml:space="preserve">Exit EV / EBITDA</t>
        </is>
      </c>
      <c r="D6" s="29">
        <f>Exit_Multiple</f>
        <v>13.5</v>
      </c>
    </row>
    <row r="7">
      <c r="B7" t="inlineStr">
        <is>
          <t xml:space="preserve">Exit-year EBITDA</t>
        </is>
      </c>
      <c r="D7" s="22">
        <f>INDEX(IS!$G$12:$K$12,Holding_Years)</f>
        <v>861.0800687999999</v>
      </c>
    </row>
    <row r="8">
      <c r="B8" t="inlineStr">
        <is>
          <t xml:space="preserve">Exit enterprise value</t>
        </is>
      </c>
      <c r="D8" s="22">
        <f>$D$6*$D$7</f>
        <v>11624.580928799998</v>
      </c>
    </row>
    <row r="9">
      <c r="B9" t="inlineStr">
        <is>
          <t xml:space="preserve">Exit costs</t>
        </is>
      </c>
      <c r="D9" s="22">
        <f>Exit_Cost_Pct*$D$8</f>
        <v>116.24580928799999</v>
      </c>
    </row>
    <row r="10">
      <c r="B10" t="inlineStr">
        <is>
          <t xml:space="preserve">Net debt at exit</t>
        </is>
      </c>
      <c r="D10" s="22">
        <f>INDEX(BS!$G$33:$K$33,Holding_Years)</f>
        <v>378.76838175993134</v>
      </c>
    </row>
    <row r="11">
      <c r="B11" s="14" t="inlineStr">
        <is>
          <t xml:space="preserve">Equity value at exit</t>
        </is>
      </c>
      <c r="D11" s="20">
        <f>$D$8-$D$9-$D$10</f>
        <v>11129.566737752066</v>
      </c>
    </row>
    <row r="12">
      <c r="B12" t="inlineStr">
        <is>
          <t xml:space="preserve">Equity invested (sponsor + rollover)</t>
        </is>
      </c>
      <c r="D12" s="24">
        <f>Deal!$D$41</f>
        <v>4225.240000000001</v>
      </c>
    </row>
    <row r="13">
      <c r="B13" t="inlineStr">
        <is>
          <t xml:space="preserve">Management incentive pool</t>
        </is>
      </c>
      <c r="D13" s="22">
        <f>MIP_Pct*MAX(0,$D$11-$D$12)</f>
        <v>517.8245053314049</v>
      </c>
    </row>
    <row r="14">
      <c r="B14" t="inlineStr">
        <is>
          <t xml:space="preserve">Sponsor ownership</t>
        </is>
      </c>
      <c r="D14" s="21">
        <f>Deal!$D$36/$D$12</f>
        <v>0.8650964205583589</v>
      </c>
    </row>
    <row r="15">
      <c r="B15" s="14" t="inlineStr">
        <is>
          <t xml:space="preserve">Sponsor proceeds</t>
        </is>
      </c>
      <c r="D15" s="20">
        <f>MAX(0,$D$11-$D$13)*$D$14</f>
        <v>9180.180221155082</v>
      </c>
    </row>
    <row r="16">
      <c r="B16" s="14" t="inlineStr">
        <is>
          <t xml:space="preserve">Sponsor MOIC</t>
        </is>
      </c>
      <c r="D16" s="30">
        <f>$D$15/Deal!$D$36</f>
        <v>2.5115123004659283</v>
      </c>
    </row>
    <row r="18">
      <c r="B18" s="17" t="inlineStr">
        <is>
          <t xml:space="preserve">Sponsor cash flows</t>
        </is>
      </c>
      <c r="C18" s="16" t="inlineStr">
        <is>
          <t xml:space="preserve">INR crore</t>
        </is>
      </c>
      <c r="D18" s="16"/>
      <c r="E18" s="16"/>
      <c r="F18" s="16" t="inlineStr">
        <is>
          <t xml:space="preserve">Close</t>
        </is>
      </c>
      <c r="G18" s="16" t="inlineStr">
        <is>
          <t xml:space="preserve">FY27E</t>
        </is>
      </c>
      <c r="H18" s="16" t="inlineStr">
        <is>
          <t xml:space="preserve">FY28E</t>
        </is>
      </c>
      <c r="I18" s="16" t="inlineStr">
        <is>
          <t xml:space="preserve">FY29E</t>
        </is>
      </c>
      <c r="J18" s="16" t="inlineStr">
        <is>
          <t xml:space="preserve">FY30E</t>
        </is>
      </c>
      <c r="K18" s="16" t="inlineStr">
        <is>
          <t xml:space="preserve">FY31E</t>
        </is>
      </c>
    </row>
    <row r="19">
      <c r="B19" t="inlineStr">
        <is>
          <t xml:space="preserve">Sponsor equity cash flow</t>
        </is>
      </c>
      <c r="F19" s="22">
        <f>-Deal!$D$36</f>
        <v>-3655.2400000000007</v>
      </c>
      <c r="G19" s="22">
        <f>IF(1=Holding_Years,$D$15,0)</f>
        <v>0</v>
      </c>
      <c r="H19" s="22">
        <f>IF(2=Holding_Years,$D$15,0)</f>
        <v>0</v>
      </c>
      <c r="I19" s="22">
        <f>IF(3=Holding_Years,$D$15,0)</f>
        <v>0</v>
      </c>
      <c r="J19" s="22">
        <f>IF(4=Holding_Years,$D$15,0)</f>
        <v>0</v>
      </c>
      <c r="K19" s="22">
        <f>IF(5=Holding_Years,$D$15,0)</f>
        <v>9180.180221155082</v>
      </c>
    </row>
    <row r="20">
      <c r="B20" s="14" t="inlineStr">
        <is>
          <t xml:space="preserve">Sponsor IRR</t>
        </is>
      </c>
      <c r="D20" s="31">
        <f>IF($D$15&gt;0,IRR($F$19:$K$19),-1)</f>
        <v>0.20222861840833073</v>
      </c>
    </row>
    <row r="22">
      <c r="B22" s="4" t="inlineStr">
        <is>
          <t xml:space="preserve">Value-creation bridge (total equity)</t>
        </is>
      </c>
    </row>
    <row r="23">
      <c r="B23" t="inlineStr">
        <is>
          <t xml:space="preserve">EBITDA growth at the entry multiple</t>
        </is>
      </c>
      <c r="D23" s="22">
        <f>($D$7-Deal!$D$11)*Deal!$D$12</f>
        <v>6263.165656941176</v>
      </c>
    </row>
    <row r="24">
      <c r="B24" t="inlineStr">
        <is>
          <t xml:space="preserve">Multiple expansion / (contraction)</t>
        </is>
      </c>
      <c r="D24" s="22">
        <f>($D$6-Deal!$D$12)*$D$7</f>
        <v>-278.584728141177</v>
      </c>
    </row>
    <row r="25">
      <c r="B25" t="inlineStr">
        <is>
          <t xml:space="preserve">Net debt paydown</t>
        </is>
      </c>
      <c r="D25" s="22">
        <f>Deal!$D$43-$D$10</f>
        <v>1153.2316182400687</v>
      </c>
    </row>
    <row r="26">
      <c r="B26" t="inlineStr">
        <is>
          <t xml:space="preserve">Fees and exit costs</t>
        </is>
      </c>
      <c r="D26" s="22">
        <f>-(Deal!$D$19+Deal!$D$20+$D$9)</f>
        <v>-233.48580928799998</v>
      </c>
    </row>
    <row r="27">
      <c r="B27" s="14" t="inlineStr">
        <is>
          <t xml:space="preserve">Total equity value created</t>
        </is>
      </c>
      <c r="D27" s="20">
        <f>$D$23+$D$24+$D$25+$D$26</f>
        <v>6904.326737752068</v>
      </c>
    </row>
    <row r="28">
      <c r="B28" t="inlineStr">
        <is>
          <t xml:space="preserve">Check: bridge - (exit equity - invested)</t>
        </is>
      </c>
      <c r="D28" s="22">
        <f>$D$27-($D$11-$D$12)</f>
        <v>2.7284841053187847e-12</v>
      </c>
    </row>
    <row r="30">
      <c r="B30" s="17" t="inlineStr">
        <is>
          <t xml:space="preserve">Returns by exit year (live exit multiple)</t>
        </is>
      </c>
      <c r="C30" s="16" t="inlineStr">
        <is>
          <t xml:space="preserve">INR crore</t>
        </is>
      </c>
      <c r="D30" s="16"/>
      <c r="E30" s="16"/>
      <c r="F30" s="16"/>
      <c r="G30" s="16" t="inlineStr">
        <is>
          <t xml:space="preserve">FY27E</t>
        </is>
      </c>
      <c r="H30" s="16" t="inlineStr">
        <is>
          <t xml:space="preserve">FY28E</t>
        </is>
      </c>
      <c r="I30" s="16" t="inlineStr">
        <is>
          <t xml:space="preserve">FY29E</t>
        </is>
      </c>
      <c r="J30" s="16" t="inlineStr">
        <is>
          <t xml:space="preserve">FY30E</t>
        </is>
      </c>
      <c r="K30" s="16" t="inlineStr">
        <is>
          <t xml:space="preserve">FY31E</t>
        </is>
      </c>
    </row>
    <row r="31">
      <c r="B31" t="inlineStr">
        <is>
          <t xml:space="preserve">Years held</t>
        </is>
      </c>
      <c r="G31" s="5">
        <v>1</v>
      </c>
      <c r="H31" s="5">
        <v>2</v>
      </c>
      <c r="I31" s="5">
        <v>3</v>
      </c>
      <c r="J31" s="5">
        <v>4</v>
      </c>
      <c r="K31" s="5">
        <v>5</v>
      </c>
    </row>
    <row r="32">
      <c r="B32" t="inlineStr">
        <is>
          <t xml:space="preserve">Exit EV</t>
        </is>
      </c>
      <c r="G32" s="22">
        <f>Exit_Multiple*IS!G12</f>
        <v>6407.099999999998</v>
      </c>
      <c r="H32" s="22">
        <f>Exit_Multiple*IS!H12</f>
        <v>7529.623919999998</v>
      </c>
      <c r="I32" s="22">
        <f>Exit_Multiple*IS!I12</f>
        <v>8843.170949999998</v>
      </c>
      <c r="J32" s="22">
        <f>Exit_Multiple*IS!J12</f>
        <v>10269.248623199996</v>
      </c>
      <c r="K32" s="22">
        <f>Exit_Multiple*IS!K12</f>
        <v>11624.580928799998</v>
      </c>
    </row>
    <row r="33">
      <c r="B33" t="inlineStr">
        <is>
          <t xml:space="preserve">Exit equity</t>
        </is>
      </c>
      <c r="G33" s="22">
        <f>G32*(1-Exit_Cost_Pct)-BS!G33</f>
        <v>4888.97969017534</v>
      </c>
      <c r="H33" s="22">
        <f>H32*(1-Exit_Cost_Pct)-BS!H33</f>
        <v>6143.452046236417</v>
      </c>
      <c r="I33" s="22">
        <f>I32*(1-Exit_Cost_Pct)-BS!I33</f>
        <v>7674.441456512381</v>
      </c>
      <c r="J33" s="22">
        <f>J32*(1-Exit_Cost_Pct)-BS!J33</f>
        <v>9408.454914805929</v>
      </c>
      <c r="K33" s="22">
        <f>K32*(1-Exit_Cost_Pct)-BS!K33</f>
        <v>11129.566737752066</v>
      </c>
    </row>
    <row r="34">
      <c r="B34" t="inlineStr">
        <is>
          <t xml:space="preserve">Sponsor proceeds</t>
        </is>
      </c>
      <c r="G34" s="22">
        <f>MAX(0,G33-MIP_Pct*MAX(0,G33-$D$12))*$D$14</f>
        <v>4186.373917891711</v>
      </c>
      <c r="H34" s="22">
        <f>MAX(0,H33-MIP_Pct*MAX(0,H33-$D$12))*$D$14</f>
        <v>5190.220496940721</v>
      </c>
      <c r="I34" s="22">
        <f>MAX(0,I33-MIP_Pct*MAX(0,I33-$D$12))*$D$14</f>
        <v>6415.339946277523</v>
      </c>
      <c r="J34" s="22">
        <f>MAX(0,J33-MIP_Pct*MAX(0,J33-$D$12))*$D$14</f>
        <v>7802.922119549559</v>
      </c>
      <c r="K34" s="22">
        <f>MAX(0,K33-MIP_Pct*MAX(0,K33-$D$12))*$D$14</f>
        <v>9180.180221155082</v>
      </c>
    </row>
    <row r="35">
      <c r="B35" t="inlineStr">
        <is>
          <t xml:space="preserve">MOIC</t>
        </is>
      </c>
      <c r="G35" s="32">
        <f>G34/Deal!$D$36</f>
        <v>1.14530753600084</v>
      </c>
      <c r="H35" s="32">
        <f>H34/Deal!$D$36</f>
        <v>1.4199397295227454</v>
      </c>
      <c r="I35" s="32">
        <f>I34/Deal!$D$36</f>
        <v>1.7551077210463668</v>
      </c>
      <c r="J35" s="32">
        <f>J34/Deal!$D$36</f>
        <v>2.1347222397296917</v>
      </c>
      <c r="K35" s="32">
        <f>K34/Deal!$D$36</f>
        <v>2.5115123004659283</v>
      </c>
    </row>
    <row r="36">
      <c r="B36" s="14" t="inlineStr">
        <is>
          <t xml:space="preserve">IRR</t>
        </is>
      </c>
      <c r="G36" s="19">
        <f>IF(G34&gt;0,G35^(1/G31)-1,-1)</f>
        <v>0.14530753600084</v>
      </c>
      <c r="H36" s="19">
        <f>IF(H34&gt;0,H35^(1/H31)-1,-1)</f>
        <v>0.1916122395824682</v>
      </c>
      <c r="I36" s="19">
        <f>IF(I34&gt;0,I35^(1/I31)-1,-1)</f>
        <v>0.2062424060909438</v>
      </c>
      <c r="J36" s="19">
        <f>IF(J34&gt;0,J35^(1/J31)-1,-1)</f>
        <v>0.20874681754322055</v>
      </c>
      <c r="K36" s="19">
        <f>IF(K34&gt;0,K35^(1/K31)-1,-1)</f>
        <v>0.2022286184083093</v>
      </c>
    </row>
    <row r="38">
      <c r="B38" s="17" t="inlineStr">
        <is>
          <t xml:space="preserve">Covenant tests</t>
        </is>
      </c>
      <c r="C38" s="16" t="inlineStr">
        <is>
          <t xml:space="preserve">INR crore</t>
        </is>
      </c>
      <c r="D38" s="16"/>
      <c r="E38" s="16"/>
      <c r="F38" s="16"/>
      <c r="G38" s="16" t="inlineStr">
        <is>
          <t xml:space="preserve">FY27E</t>
        </is>
      </c>
      <c r="H38" s="16" t="inlineStr">
        <is>
          <t xml:space="preserve">FY28E</t>
        </is>
      </c>
      <c r="I38" s="16" t="inlineStr">
        <is>
          <t xml:space="preserve">FY29E</t>
        </is>
      </c>
      <c r="J38" s="16" t="inlineStr">
        <is>
          <t xml:space="preserve">FY30E</t>
        </is>
      </c>
      <c r="K38" s="16" t="inlineStr">
        <is>
          <t xml:space="preserve">FY31E</t>
        </is>
      </c>
    </row>
    <row r="39">
      <c r="B39" t="inlineStr">
        <is>
          <t xml:space="preserve">EBITDA</t>
        </is>
      </c>
      <c r="G39" s="24">
        <f>IS!G12</f>
        <v>474.5999999999998</v>
      </c>
      <c r="H39" s="24">
        <f>IS!H12</f>
        <v>557.7499199999999</v>
      </c>
      <c r="I39" s="24">
        <f>IS!I12</f>
        <v>655.0496999999998</v>
      </c>
      <c r="J39" s="24">
        <f>IS!J12</f>
        <v>760.6850831999997</v>
      </c>
      <c r="K39" s="24">
        <f>IS!K12</f>
        <v>861.0800687999999</v>
      </c>
    </row>
    <row r="40">
      <c r="B40" t="inlineStr">
        <is>
          <t xml:space="preserve">Net debt</t>
        </is>
      </c>
      <c r="G40" s="24">
        <f>BS!G33</f>
        <v>1454.0493098246575</v>
      </c>
      <c r="H40" s="24">
        <f>BS!H33</f>
        <v>1310.875634563581</v>
      </c>
      <c r="I40" s="24">
        <f>BS!I33</f>
        <v>1080.2977839876162</v>
      </c>
      <c r="J40" s="24">
        <f>BS!J33</f>
        <v>758.1012221620683</v>
      </c>
      <c r="K40" s="24">
        <f>BS!K33</f>
        <v>378.76838175993134</v>
      </c>
    </row>
    <row r="41">
      <c r="B41" t="inlineStr">
        <is>
          <t xml:space="preserve">Net debt / EBITDA</t>
        </is>
      </c>
      <c r="G41" s="32">
        <f>G40/G39</f>
        <v>3.063736430309014</v>
      </c>
      <c r="H41" s="32">
        <f>H40/H39</f>
        <v>2.3502928240018055</v>
      </c>
      <c r="I41" s="32">
        <f>I40/I39</f>
        <v>1.6491844572825796</v>
      </c>
      <c r="J41" s="32">
        <f>J40/J39</f>
        <v>0.9966032447658081</v>
      </c>
      <c r="K41" s="32">
        <f>K40/K39</f>
        <v>0.4398759133837373</v>
      </c>
    </row>
    <row r="42">
      <c r="B42" t="inlineStr">
        <is>
          <t xml:space="preserve">Maximum</t>
        </is>
      </c>
      <c r="G42" s="33">
        <f>Inputs!G98</f>
        <v>4</v>
      </c>
      <c r="H42" s="33">
        <f>Inputs!H98</f>
        <v>3.5</v>
      </c>
      <c r="I42" s="33">
        <f>Inputs!I98</f>
        <v>3</v>
      </c>
      <c r="J42" s="33">
        <f>Inputs!J98</f>
        <v>2.75</v>
      </c>
      <c r="K42" s="33">
        <f>Inputs!K98</f>
        <v>2.5</v>
      </c>
    </row>
    <row r="43">
      <c r="B43" t="inlineStr">
        <is>
          <t xml:space="preserve">Cash interest (term debt + revolver + fees)</t>
        </is>
      </c>
      <c r="G43" s="22">
        <f>Debt!G42+Debt!G20+Debt!G21</f>
        <v>169.335</v>
      </c>
      <c r="H43" s="22">
        <f>Debt!H42+Debt!H20+Debt!H21</f>
        <v>162.66006115878082</v>
      </c>
      <c r="I43" s="22">
        <f>Debt!I42+Debt!I20+Debt!I21</f>
        <v>149.96806119713122</v>
      </c>
      <c r="J43" s="22">
        <f>Debt!J42+Debt!J20+Debt!J21</f>
        <v>129.20772196885451</v>
      </c>
      <c r="K43" s="22">
        <f>Debt!K42+Debt!K20+Debt!K21</f>
        <v>126.807088482</v>
      </c>
    </row>
    <row r="44">
      <c r="B44" t="inlineStr">
        <is>
          <t xml:space="preserve">Interest cover (EBITDA / cash interest)</t>
        </is>
      </c>
      <c r="G44" s="32">
        <f>G39/G43</f>
        <v>2.802728319603152</v>
      </c>
      <c r="H44" s="32">
        <f>H39/H43</f>
        <v>3.42892973251468</v>
      </c>
      <c r="I44" s="32">
        <f>I39/I43</f>
        <v>4.3679280426179865</v>
      </c>
      <c r="J44" s="32">
        <f>J39/J43</f>
        <v>5.88730357295025</v>
      </c>
      <c r="K44" s="32">
        <f>K39/K43</f>
        <v>6.790472670794176</v>
      </c>
    </row>
    <row r="45">
      <c r="B45" t="inlineStr">
        <is>
          <t xml:space="preserve">Debt service (cash interest + scheduled repayment)</t>
        </is>
      </c>
      <c r="G45" s="22">
        <f>G43+Debt!G9</f>
        <v>230.53500000000003</v>
      </c>
      <c r="H45" s="22">
        <f>H43+Debt!H9</f>
        <v>223.8600611587808</v>
      </c>
      <c r="I45" s="22">
        <f>I43+Debt!I9</f>
        <v>241.7680611971312</v>
      </c>
      <c r="J45" s="22">
        <f>J43+Debt!J9</f>
        <v>194.9239659564708</v>
      </c>
      <c r="K45" s="22">
        <f>K43+Debt!K9</f>
        <v>126.807088482</v>
      </c>
    </row>
    <row r="46">
      <c r="B46" t="inlineStr">
        <is>
          <t xml:space="preserve">DSCR ((EBITDA - capex - tax) / debt service)</t>
        </is>
      </c>
      <c r="G46" s="32">
        <f>(G39+CF!G12-IS!G19)/G45</f>
        <v>1.301977763029474</v>
      </c>
      <c r="H46" s="32">
        <f>(H39+CF!H12-IS!H19)/H45</f>
        <v>1.6210858744374352</v>
      </c>
      <c r="I46" s="32">
        <f>(I39+CF!I12-IS!I19)/I45</f>
        <v>1.825094723211668</v>
      </c>
      <c r="J46" s="32">
        <f>(J39+CF!J12-IS!J19)/J45</f>
        <v>2.646074427290408</v>
      </c>
      <c r="K46" s="32">
        <f>(K39+CF!K12-IS!K19)/K45</f>
        <v>4.393204960698648</v>
      </c>
    </row>
    <row r="47">
      <c r="B47" s="14" t="inlineStr">
        <is>
          <t xml:space="preserve">EBITDA cushion before the tightest covenant breaks</t>
        </is>
      </c>
      <c r="G47" s="19">
        <f>MIN(1-G40/(G42*G39),1-Min_ICR*G43/G39,1-(Min_DSCR*G45-CF!G12+IS!G19)/G39)</f>
        <v>0.07382257395701619</v>
      </c>
      <c r="H47" s="19">
        <f>MIN(1-H40/(H42*H39),1-Min_ICR*H43/H39,1-(Min_DSCR*H45-CF!H12+IS!H19)/H39)</f>
        <v>0.18907633848266991</v>
      </c>
      <c r="I47" s="19">
        <f>MIN(1-I40/(I42*I39),1-Min_ICR*I43/I39,1-(Min_DSCR*I45-CF!I12+IS!I19)/I39)</f>
        <v>0.2491663492942583</v>
      </c>
      <c r="J47" s="19">
        <f>MIN(1-J40/(J42*J39),1-Min_ICR*J43/J39,1-(Min_DSCR*J45-CF!J12+IS!J19)/J39)</f>
        <v>0.383365951527183</v>
      </c>
      <c r="K47" s="19">
        <f>MIN(1-K40/(K42*K39),1-Min_ICR*K43/K39,1-(Min_DSCR*K45-CF!K12+IS!K19)/K39)</f>
        <v>0.477611076272742</v>
      </c>
    </row>
    <row r="48">
      <c r="B48" s="14" t="inlineStr">
        <is>
          <t xml:space="preserve">Breach flag (1 = any covenant or liquidity test fails)</t>
        </is>
      </c>
      <c r="G48" s="34">
        <f>IF(OR(G41&gt;G42,G44&lt;Min_ICR,G46&lt;Min_DSCR,Debt!G13&lt;0),1,0)</f>
        <v>0</v>
      </c>
      <c r="H48" s="34">
        <f>IF(OR(H41&gt;H42,H44&lt;Min_ICR,H46&lt;Min_DSCR,Debt!H13&lt;0),1,0)</f>
        <v>0</v>
      </c>
      <c r="I48" s="34">
        <f>IF(OR(I41&gt;I42,I44&lt;Min_ICR,I46&lt;Min_DSCR,Debt!I13&lt;0),1,0)</f>
        <v>0</v>
      </c>
      <c r="J48" s="34">
        <f>IF(OR(J41&gt;J42,J44&lt;Min_ICR,J46&lt;Min_DSCR,Debt!J13&lt;0),1,0)</f>
        <v>0</v>
      </c>
      <c r="K48" s="34">
        <f>IF(OR(K41&gt;K42,K44&lt;Min_ICR,K46&lt;Min_DSCR,Debt!K13&lt;0),1,0)</f>
        <v>0</v>
      </c>
    </row>
  </sheetData>
  <pageMargins left="0.5" right="0.5" top="0.6" bottom="0.6" header="0.3" footer="0.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3864"/>
  </sheetPr>
  <dimension ref="A1:G23"/>
  <sheetViews>
    <sheetView showGridLines="0" zoomScale="90" workbookViewId="0"/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Cost of capital (INR)</t>
        </is>
      </c>
    </row>
    <row r="3">
      <c r="B3" s="2" t="inlineStr">
        <is>
          <t xml:space="preserve">CAPM with peer betas unlevered and relevered (Hamada).</t>
        </is>
      </c>
    </row>
    <row r="5">
      <c r="B5" s="17" t="inlineStr">
        <is>
          <t xml:space="preserve">Peer</t>
        </is>
      </c>
      <c r="C5" s="16"/>
      <c r="D5" s="16" t="inlineStr">
        <is>
          <t xml:space="preserve">Levered beta</t>
        </is>
      </c>
      <c r="E5" s="16" t="inlineStr">
        <is>
          <t xml:space="preserve">Debt / equity</t>
        </is>
      </c>
      <c r="F5" s="16" t="inlineStr">
        <is>
          <t xml:space="preserve">Tax rate</t>
        </is>
      </c>
      <c r="G5" s="16" t="inlineStr">
        <is>
          <t xml:space="preserve">Unlevered beta</t>
        </is>
      </c>
    </row>
    <row r="6">
      <c r="B6" t="inlineStr">
        <is>
          <t xml:space="preserve">Peer A (pan-India packaged foods)</t>
        </is>
      </c>
      <c r="D6" s="9">
        <v>0.82</v>
      </c>
      <c r="E6" s="9">
        <v>0.05</v>
      </c>
      <c r="F6" s="10">
        <v>0.2517</v>
      </c>
      <c r="G6" s="35">
        <f>D6/(1+(1-F6)*E6)</f>
        <v>0.7904262035925834</v>
      </c>
    </row>
    <row r="7">
      <c r="B7" t="inlineStr">
        <is>
          <t xml:space="preserve">Peer B (spices and masalas)</t>
        </is>
      </c>
      <c r="D7" s="9">
        <v>0.91</v>
      </c>
      <c r="E7" s="9">
        <v>0.12</v>
      </c>
      <c r="F7" s="10">
        <v>0.2517</v>
      </c>
      <c r="G7" s="35">
        <f>D7/(1+(1-F7)*E7)</f>
        <v>0.8350186640435459</v>
      </c>
    </row>
    <row r="8">
      <c r="B8" t="inlineStr">
        <is>
          <t xml:space="preserve">Peer C (regional snacks)</t>
        </is>
      </c>
      <c r="D8" s="9">
        <v>1.05</v>
      </c>
      <c r="E8" s="9">
        <v>0.25</v>
      </c>
      <c r="F8" s="10">
        <v>0.2517</v>
      </c>
      <c r="G8" s="35">
        <f>D8/(1+(1-F8)*E8)</f>
        <v>0.8845270939072931</v>
      </c>
    </row>
    <row r="9">
      <c r="B9" t="inlineStr">
        <is>
          <t xml:space="preserve">Peer D (edible oils and staples)</t>
        </is>
      </c>
      <c r="D9" s="9">
        <v>0.98</v>
      </c>
      <c r="E9" s="9">
        <v>0.3</v>
      </c>
      <c r="F9" s="10">
        <v>0.2517</v>
      </c>
      <c r="G9" s="35">
        <f>D9/(1+(1-F9)*E9)</f>
        <v>0.8003331999444666</v>
      </c>
    </row>
    <row r="10">
      <c r="B10" t="inlineStr">
        <is>
          <t xml:space="preserve">Peer E (ready-to-cook)</t>
        </is>
      </c>
      <c r="D10" s="9">
        <v>0.88</v>
      </c>
      <c r="E10" s="9">
        <v>0</v>
      </c>
      <c r="F10" s="10">
        <v>0.2517</v>
      </c>
      <c r="G10" s="35">
        <f>D10/(1+(1-F10)*E10)</f>
        <v>0.88</v>
      </c>
    </row>
    <row r="11">
      <c r="B11" t="inlineStr">
        <is>
          <t xml:space="preserve">Peer F (dairy and beverages)</t>
        </is>
      </c>
      <c r="D11" s="9">
        <v>0.76</v>
      </c>
      <c r="E11" s="9">
        <v>0.08</v>
      </c>
      <c r="F11" s="10">
        <v>0.2517</v>
      </c>
      <c r="G11" s="35">
        <f>D11/(1+(1-F11)*E11)</f>
        <v>0.7170731339115208</v>
      </c>
    </row>
    <row r="13">
      <c r="B13" t="inlineStr">
        <is>
          <t xml:space="preserve">Median unlevered beta</t>
        </is>
      </c>
      <c r="D13" s="35">
        <f>MEDIAN(G6:G11)</f>
        <v>0.8176759319940062</v>
      </c>
    </row>
    <row r="14">
      <c r="B14" t="inlineStr">
        <is>
          <t xml:space="preserve">Target debt / capital</t>
        </is>
      </c>
      <c r="D14" s="8">
        <v>0.1</v>
      </c>
    </row>
    <row r="15">
      <c r="B15" t="inlineStr">
        <is>
          <t xml:space="preserve">Target debt / equity</t>
        </is>
      </c>
      <c r="D15" s="35">
        <f>Target_DC/(1-Target_DC)</f>
        <v>0.11111111111111112</v>
      </c>
    </row>
    <row r="16">
      <c r="B16" t="inlineStr">
        <is>
          <t xml:space="preserve">Relevered beta</t>
        </is>
      </c>
      <c r="D16" s="35">
        <f>$D$13*(1+(1-Tax_Rate)*$D$15)</f>
        <v>0.8856611430952412</v>
      </c>
    </row>
    <row r="17">
      <c r="B17" t="inlineStr">
        <is>
          <t xml:space="preserve">Risk-free rate (10-year G-sec)</t>
        </is>
      </c>
      <c r="D17" s="10">
        <v>0.066</v>
      </c>
    </row>
    <row r="18">
      <c r="B18" t="inlineStr">
        <is>
          <t xml:space="preserve">Equity risk premium (India)</t>
        </is>
      </c>
      <c r="D18" s="10">
        <v>0.07</v>
      </c>
    </row>
    <row r="19">
      <c r="B19" t="inlineStr">
        <is>
          <t xml:space="preserve">Size / company-specific premium</t>
        </is>
      </c>
      <c r="D19" s="10">
        <v>0.01</v>
      </c>
    </row>
    <row r="20">
      <c r="B20" s="14" t="inlineStr">
        <is>
          <t xml:space="preserve">Cost of equity</t>
        </is>
      </c>
      <c r="D20" s="36">
        <f>Risk_Free+$D$16*Equity_Risk_Premium+Size_Premium</f>
        <v>0.13799628001666692</v>
      </c>
    </row>
    <row r="21">
      <c r="B21" t="inlineStr">
        <is>
          <t xml:space="preserve">Pre-tax cost of debt</t>
        </is>
      </c>
      <c r="D21" s="10">
        <v>0.09</v>
      </c>
    </row>
    <row r="22">
      <c r="B22" t="inlineStr">
        <is>
          <t xml:space="preserve">After-tax cost of debt</t>
        </is>
      </c>
      <c r="D22" s="37">
        <f>Kd_Pre_Tax*(1-Tax_Rate)</f>
        <v>0.06734699999999999</v>
      </c>
    </row>
    <row r="23">
      <c r="B23" s="14" t="inlineStr">
        <is>
          <t xml:space="preserve">WACC</t>
        </is>
      </c>
      <c r="D23" s="38">
        <f>(1-Target_DC)*$D$20+Target_DC*$D$22</f>
        <v>0.13093135201500022</v>
      </c>
    </row>
  </sheetData>
  <pageMargins left="0.5" right="0.5" top="0.6" bottom="0.6" header="0.3" footer="0.3"/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F3864"/>
  </sheetPr>
  <dimension ref="A1:K42"/>
  <sheetViews>
    <sheetView showGridLines="0" zoomScale="9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Discounted cash flow (unlevered, standalone)</t>
        </is>
      </c>
    </row>
    <row r="3">
      <c r="B3" s="2" t="inlineStr">
        <is>
          <t xml:space="preserve">FCFF follows the live operating case; the deal's capital structure does not affect it.</t>
        </is>
      </c>
    </row>
    <row r="5">
      <c r="B5" s="4" t="inlineStr">
        <is>
          <t xml:space="preserve">Assumptions</t>
        </is>
      </c>
    </row>
    <row r="6">
      <c r="B6" t="inlineStr">
        <is>
          <t xml:space="preserve">Terminal growth (nominal INR)</t>
        </is>
      </c>
      <c r="D6" s="10">
        <v>0.055</v>
      </c>
    </row>
    <row r="7">
      <c r="B7" t="inlineStr">
        <is>
          <t xml:space="preserve">Terminal EV / EBITDA (cross-check)</t>
        </is>
      </c>
      <c r="D7" s="13">
        <v>13</v>
      </c>
    </row>
    <row r="8">
      <c r="B8" t="inlineStr">
        <is>
          <t xml:space="preserve">Mid-year convention (1 = on)</t>
        </is>
      </c>
      <c r="D8" s="5">
        <v>1</v>
      </c>
    </row>
    <row r="10">
      <c r="B10" s="17" t="inlineStr">
        <is>
          <t xml:space="preserve">Free cash flow to the firm</t>
        </is>
      </c>
      <c r="C10" s="16" t="inlineStr">
        <is>
          <t xml:space="preserve">INR crore</t>
        </is>
      </c>
      <c r="D10" s="16"/>
      <c r="E10" s="16"/>
      <c r="F10" s="16"/>
      <c r="G10" s="16" t="inlineStr">
        <is>
          <t xml:space="preserve">FY27E</t>
        </is>
      </c>
      <c r="H10" s="16" t="inlineStr">
        <is>
          <t xml:space="preserve">FY28E</t>
        </is>
      </c>
      <c r="I10" s="16" t="inlineStr">
        <is>
          <t xml:space="preserve">FY29E</t>
        </is>
      </c>
      <c r="J10" s="16" t="inlineStr">
        <is>
          <t xml:space="preserve">FY30E</t>
        </is>
      </c>
      <c r="K10" s="16" t="inlineStr">
        <is>
          <t xml:space="preserve">FY31E</t>
        </is>
      </c>
    </row>
    <row r="11">
      <c r="B11" t="inlineStr">
        <is>
          <t xml:space="preserve">EBIT</t>
        </is>
      </c>
      <c r="G11" s="24">
        <f>IS!G15</f>
        <v>406.7999999999998</v>
      </c>
      <c r="H11" s="24">
        <f>IS!H15</f>
        <v>481.1359199999999</v>
      </c>
      <c r="I11" s="24">
        <f>IS!I15</f>
        <v>568.8589499999998</v>
      </c>
      <c r="J11" s="24">
        <f>IS!J15</f>
        <v>664.1514431999997</v>
      </c>
      <c r="K11" s="24">
        <f>IS!K15</f>
        <v>753.4450602</v>
      </c>
    </row>
    <row r="12">
      <c r="B12" t="inlineStr">
        <is>
          <t xml:space="preserve">NOPAT (EBIT x (1 - tax))</t>
        </is>
      </c>
      <c r="G12" s="22">
        <f>G11*(1-Tax_Rate)</f>
        <v>304.4084399999998</v>
      </c>
      <c r="H12" s="22">
        <f>H11*(1-Tax_Rate)</f>
        <v>360.0340089359999</v>
      </c>
      <c r="I12" s="22">
        <f>I11*(1-Tax_Rate)</f>
        <v>425.67715228499986</v>
      </c>
      <c r="J12" s="22">
        <f>J11*(1-Tax_Rate)</f>
        <v>496.98452494655976</v>
      </c>
      <c r="K12" s="22">
        <f>K11*(1-Tax_Rate)</f>
        <v>563.8029385476599</v>
      </c>
    </row>
    <row r="13">
      <c r="B13" t="inlineStr">
        <is>
          <t xml:space="preserve">Plus: D&amp;A</t>
        </is>
      </c>
      <c r="G13" s="24">
        <f>IS!G14</f>
        <v>67.8</v>
      </c>
      <c r="H13" s="24">
        <f>IS!H14</f>
        <v>76.61399999999998</v>
      </c>
      <c r="I13" s="24">
        <f>IS!I14</f>
        <v>86.19074999999998</v>
      </c>
      <c r="J13" s="24">
        <f>IS!J14</f>
        <v>96.53363999999998</v>
      </c>
      <c r="K13" s="24">
        <f>IS!K14</f>
        <v>107.63500859999998</v>
      </c>
    </row>
    <row r="14">
      <c r="B14" t="inlineStr">
        <is>
          <t xml:space="preserve">Less: capex</t>
        </is>
      </c>
      <c r="G14" s="24">
        <f>CF!G12</f>
        <v>-108.47999999999999</v>
      </c>
      <c r="H14" s="24">
        <f>CF!H12</f>
        <v>-116.45327999999996</v>
      </c>
      <c r="I14" s="24">
        <f>CF!I12</f>
        <v>-120.66704999999996</v>
      </c>
      <c r="J14" s="24">
        <f>CF!J12</f>
        <v>-135.14709599999998</v>
      </c>
      <c r="K14" s="24">
        <f>CF!K12</f>
        <v>-150.68901203999997</v>
      </c>
    </row>
    <row r="15">
      <c r="B15" t="inlineStr">
        <is>
          <t xml:space="preserve">Less: increase in working capital</t>
        </is>
      </c>
      <c r="G15" s="24">
        <f>CF!G10</f>
        <v>-28.265753424657504</v>
      </c>
      <c r="H15" s="24">
        <f>CF!H10</f>
        <v>-31.544646575342398</v>
      </c>
      <c r="I15" s="24">
        <f>CF!I10</f>
        <v>-34.240160958904085</v>
      </c>
      <c r="J15" s="24">
        <f>CF!J10</f>
        <v>-36.94159158904108</v>
      </c>
      <c r="K15" s="24">
        <f>CF!K10</f>
        <v>-39.904097543013734</v>
      </c>
    </row>
    <row r="16">
      <c r="B16" s="14" t="inlineStr">
        <is>
          <t xml:space="preserve">Unlevered free cash flow</t>
        </is>
      </c>
      <c r="G16" s="20">
        <f>G12+G13+G14+G15</f>
        <v>235.46268657534236</v>
      </c>
      <c r="H16" s="20">
        <f>H12+H13+H14+H15</f>
        <v>288.6500823606575</v>
      </c>
      <c r="I16" s="20">
        <f>I12+I13+I14+I15</f>
        <v>356.9606913260958</v>
      </c>
      <c r="J16" s="20">
        <f>J12+J13+J14+J15</f>
        <v>421.4294773575187</v>
      </c>
      <c r="K16" s="20">
        <f>K12+K13+K14+K15</f>
        <v>480.8448375646462</v>
      </c>
    </row>
    <row r="17">
      <c r="B17" t="inlineStr">
        <is>
          <t xml:space="preserve">Year</t>
        </is>
      </c>
      <c r="G17" s="5">
        <v>1</v>
      </c>
      <c r="H17" s="5">
        <v>2</v>
      </c>
      <c r="I17" s="5">
        <v>3</v>
      </c>
      <c r="J17" s="5">
        <v>4</v>
      </c>
      <c r="K17" s="5">
        <v>5</v>
      </c>
    </row>
    <row r="18">
      <c r="B18" t="inlineStr">
        <is>
          <t xml:space="preserve">Discount period</t>
        </is>
      </c>
      <c r="G18" s="35">
        <f>G17-0.5*Mid_Year</f>
        <v>0.5</v>
      </c>
      <c r="H18" s="35">
        <f>H17-0.5*Mid_Year</f>
        <v>1.5</v>
      </c>
      <c r="I18" s="35">
        <f>I17-0.5*Mid_Year</f>
        <v>2.5</v>
      </c>
      <c r="J18" s="35">
        <f>J17-0.5*Mid_Year</f>
        <v>3.5</v>
      </c>
      <c r="K18" s="35">
        <f>K17-0.5*Mid_Year</f>
        <v>4.5</v>
      </c>
    </row>
    <row r="19">
      <c r="B19" t="inlineStr">
        <is>
          <t xml:space="preserve">Discount factor</t>
        </is>
      </c>
      <c r="G19" s="35">
        <f>1/(1+WACC_Rate)^G18</f>
        <v>0.9403334342874943</v>
      </c>
      <c r="H19" s="35">
        <f>1/(1+WACC_Rate)^H18</f>
        <v>0.8314681811695164</v>
      </c>
      <c r="I19" s="35">
        <f>1/(1+WACC_Rate)^I18</f>
        <v>0.7352065885237641</v>
      </c>
      <c r="J19" s="35">
        <f>1/(1+WACC_Rate)^J18</f>
        <v>0.6500894923585182</v>
      </c>
      <c r="K19" s="35">
        <f>1/(1+WACC_Rate)^K18</f>
        <v>0.574826660522093</v>
      </c>
    </row>
    <row r="20">
      <c r="B20" s="14" t="inlineStr">
        <is>
          <t xml:space="preserve">Present value</t>
        </is>
      </c>
      <c r="G20" s="20">
        <f>G16*G19</f>
        <v>221.41343671395157</v>
      </c>
      <c r="H20" s="20">
        <f>H16*H19</f>
        <v>240.003358974847</v>
      </c>
      <c r="I20" s="20">
        <f>I16*I19</f>
        <v>262.43985210694325</v>
      </c>
      <c r="J20" s="20">
        <f>J16*J19</f>
        <v>273.96687500026496</v>
      </c>
      <c r="K20" s="20">
        <f>K16*K19</f>
        <v>276.4024322065738</v>
      </c>
    </row>
    <row r="22">
      <c r="B22" s="4" t="inlineStr">
        <is>
          <t xml:space="preserve">Valuation</t>
        </is>
      </c>
    </row>
    <row r="23">
      <c r="B23" t="inlineStr">
        <is>
          <t xml:space="preserve">Sum of PV of FCFF</t>
        </is>
      </c>
      <c r="D23" s="22">
        <f>SUM($G$20:$K$20)</f>
        <v>1274.2259550025806</v>
      </c>
    </row>
    <row r="24">
      <c r="B24" t="inlineStr">
        <is>
          <t xml:space="preserve">Terminal value: Gordon growth</t>
        </is>
      </c>
      <c r="D24" s="22">
        <f>$K$16*(1+Terminal_Growth)/(WACC_Rate-Terminal_Growth)</f>
        <v>6680.920201848722</v>
      </c>
    </row>
    <row r="25">
      <c r="B25" t="inlineStr">
        <is>
          <t xml:space="preserve">PV of terminal value (Gordon)</t>
        </is>
      </c>
      <c r="D25" s="22">
        <f>$D$24/(1+WACC_Rate)^(5.0-0.5*Mid_Year)</f>
        <v>3840.371048843288</v>
      </c>
    </row>
    <row r="26">
      <c r="B26" t="inlineStr">
        <is>
          <t xml:space="preserve">Terminal value: exit multiple</t>
        </is>
      </c>
      <c r="D26" s="22">
        <f>DCF_Exit_Multiple*IS!$K$12</f>
        <v>11194.0408944</v>
      </c>
    </row>
    <row r="27">
      <c r="B27" t="inlineStr">
        <is>
          <t xml:space="preserve">PV of terminal value (exit multiple)</t>
        </is>
      </c>
      <c r="D27" s="22">
        <f>$D$26/(1+WACC_Rate)^5.0</f>
        <v>6050.700683689168</v>
      </c>
    </row>
    <row r="28">
      <c r="B28" t="inlineStr">
        <is>
          <t xml:space="preserve">Net debt (standalone, pre-deal)</t>
        </is>
      </c>
      <c r="D28" s="24">
        <f>BS!$D$22-BS!$D$7</f>
        <v>-60</v>
      </c>
    </row>
    <row r="29">
      <c r="B29" s="14" t="inlineStr">
        <is>
          <t xml:space="preserve">Enterprise value (Gordon growth)</t>
        </is>
      </c>
      <c r="D29" s="20">
        <f>$D$23+$D$25</f>
        <v>5114.597003845869</v>
      </c>
    </row>
    <row r="30">
      <c r="B30" t="inlineStr">
        <is>
          <t xml:space="preserve">Equity value (Gordon growth)</t>
        </is>
      </c>
      <c r="D30" s="22">
        <f>$D$29-$D$28</f>
        <v>5174.597003845869</v>
      </c>
    </row>
    <row r="31">
      <c r="B31" s="14" t="inlineStr">
        <is>
          <t xml:space="preserve">Value per share (Gordon growth)</t>
        </is>
      </c>
      <c r="D31" s="39">
        <f>$D$30/Diluted_Shares</f>
        <v>431.21641698715575</v>
      </c>
    </row>
    <row r="32">
      <c r="B32" t="inlineStr">
        <is>
          <t xml:space="preserve">Terminal value share of EV (Gordon growth)</t>
        </is>
      </c>
      <c r="D32" s="21">
        <f>$D$25/$D$29</f>
        <v>0.7508648376315006</v>
      </c>
    </row>
    <row r="33">
      <c r="B33" s="14" t="inlineStr">
        <is>
          <t xml:space="preserve">Enterprise value (exit multiple)</t>
        </is>
      </c>
      <c r="D33" s="20">
        <f>$D$23+$D$27</f>
        <v>7324.926638691748</v>
      </c>
    </row>
    <row r="34">
      <c r="B34" t="inlineStr">
        <is>
          <t xml:space="preserve">Equity value (exit multiple)</t>
        </is>
      </c>
      <c r="D34" s="22">
        <f>$D$33-$D$28</f>
        <v>7384.926638691748</v>
      </c>
    </row>
    <row r="35">
      <c r="B35" s="14" t="inlineStr">
        <is>
          <t xml:space="preserve">Value per share (exit multiple)</t>
        </is>
      </c>
      <c r="D35" s="39">
        <f>$D$34/Diluted_Shares</f>
        <v>615.4105532243124</v>
      </c>
    </row>
    <row r="36">
      <c r="B36" t="inlineStr">
        <is>
          <t xml:space="preserve">Terminal value share of EV (exit multiple)</t>
        </is>
      </c>
      <c r="D36" s="21">
        <f>$D$27/$D$33</f>
        <v>0.8260424960064637</v>
      </c>
    </row>
    <row r="38">
      <c r="B38" s="4" t="inlineStr">
        <is>
          <t xml:space="preserve">Cross-checks</t>
        </is>
      </c>
    </row>
    <row r="39">
      <c r="B39" t="inlineStr">
        <is>
          <t xml:space="preserve">Exit multiple implied by the Gordon value</t>
        </is>
      </c>
      <c r="D39" s="28">
        <f>$D$24*(1+WACC_Rate)^(0.5*Mid_Year)/IS!$K$12</f>
        <v>8.251081361460294</v>
      </c>
    </row>
    <row r="40">
      <c r="B40" t="inlineStr">
        <is>
          <t xml:space="preserve">Perpetual growth implied by the exit multiple</t>
        </is>
      </c>
      <c r="D40" s="37">
        <f>($D$26/(1+WACC_Rate)^(0.5*Mid_Year)*WACC_Rate-$K$16)/($D$26/(1+WACC_Rate)^(0.5*Mid_Year)+$K$16)</f>
        <v>0.08152609171976627</v>
      </c>
    </row>
    <row r="41">
      <c r="B41" t="inlineStr">
        <is>
          <t xml:space="preserve">Gordon value vs unaffected price</t>
        </is>
      </c>
      <c r="D41" s="21">
        <f>$D$31/Unaffected_Price-1</f>
        <v>0.1347800447030414</v>
      </c>
    </row>
    <row r="42">
      <c r="B42" t="inlineStr">
        <is>
          <t xml:space="preserve">Gordon value vs offer price</t>
        </is>
      </c>
      <c r="D42" s="21">
        <f>$D$31/Deal!$D$6-1</f>
        <v>-0.0921759642375668</v>
      </c>
    </row>
  </sheetData>
  <pageMargins left="0.5" right="0.5" top="0.6" bottom="0.6" header="0.3" footer="0.3"/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F3864"/>
  </sheetPr>
  <dimension ref="A1:N46"/>
  <sheetViews>
    <sheetView showGridLines="0" zoomScale="90" workbookViewId="0"/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Trading comparables and precedent transactions</t>
        </is>
      </c>
    </row>
    <row r="3">
      <c r="B3" s="2" t="inlineStr">
        <is>
          <t xml:space="preserve">Trading multiples on NTM (FY27E) estimates; precedents on LTM (FY26A) EBITDA.</t>
        </is>
      </c>
    </row>
    <row r="5">
      <c r="B5" s="17" t="inlineStr">
        <is>
          <t xml:space="preserve">Trading comparables</t>
        </is>
      </c>
      <c r="C5" s="17"/>
      <c r="D5" s="16" t="inlineStr">
        <is>
          <t xml:space="preserve">Market cap</t>
        </is>
      </c>
      <c r="E5" s="16" t="inlineStr">
        <is>
          <t xml:space="preserve">Net debt</t>
        </is>
      </c>
      <c r="F5" s="16" t="inlineStr">
        <is>
          <t xml:space="preserve">EV</t>
        </is>
      </c>
      <c r="G5" s="16" t="inlineStr">
        <is>
          <t xml:space="preserve">Revenue</t>
        </is>
      </c>
      <c r="H5" s="16" t="inlineStr">
        <is>
          <t xml:space="preserve">EBITDA</t>
        </is>
      </c>
      <c r="I5" s="16" t="inlineStr">
        <is>
          <t xml:space="preserve">Net income</t>
        </is>
      </c>
      <c r="J5" s="16" t="inlineStr">
        <is>
          <t xml:space="preserve">EV / Revenue</t>
        </is>
      </c>
      <c r="K5" s="16" t="inlineStr">
        <is>
          <t xml:space="preserve">EV / EBITDA</t>
        </is>
      </c>
      <c r="L5" s="16" t="inlineStr">
        <is>
          <t xml:space="preserve">P / E</t>
        </is>
      </c>
      <c r="M5" s="16" t="inlineStr">
        <is>
          <t xml:space="preserve">Revenue growth</t>
        </is>
      </c>
      <c r="N5" s="16" t="inlineStr">
        <is>
          <t xml:space="preserve">EBITDA margin</t>
        </is>
      </c>
    </row>
    <row r="6">
      <c r="B6" t="inlineStr">
        <is>
          <t xml:space="preserve">Peer A (pan-India packaged foods)</t>
        </is>
      </c>
      <c r="D6" s="40">
        <v>35160</v>
      </c>
      <c r="E6" s="40">
        <v>-900</v>
      </c>
      <c r="F6" s="41">
        <f>D6+E6</f>
        <v>34260</v>
      </c>
      <c r="G6" s="40">
        <v>13800</v>
      </c>
      <c r="H6" s="40">
        <v>2210</v>
      </c>
      <c r="I6" s="40">
        <v>1480</v>
      </c>
      <c r="J6" s="32">
        <f>F6/G6</f>
        <v>2.482608695652174</v>
      </c>
      <c r="K6" s="28">
        <f>F6/H6</f>
        <v>15.502262443438914</v>
      </c>
      <c r="L6" s="28">
        <f>D6/I6</f>
        <v>23.756756756756758</v>
      </c>
      <c r="M6" s="8">
        <v>0.11</v>
      </c>
      <c r="N6" s="8">
        <v>0.16</v>
      </c>
    </row>
    <row r="7">
      <c r="B7" t="inlineStr">
        <is>
          <t xml:space="preserve">Peer B (spices and masalas)</t>
        </is>
      </c>
      <c r="D7" s="40">
        <v>8410</v>
      </c>
      <c r="E7" s="40">
        <v>150</v>
      </c>
      <c r="F7" s="41">
        <f>D7+E7</f>
        <v>8560</v>
      </c>
      <c r="G7" s="40">
        <v>3900</v>
      </c>
      <c r="H7" s="40">
        <v>620</v>
      </c>
      <c r="I7" s="40">
        <v>390</v>
      </c>
      <c r="J7" s="32">
        <f>F7/G7</f>
        <v>2.194871794871795</v>
      </c>
      <c r="K7" s="28">
        <f>F7/H7</f>
        <v>13.806451612903226</v>
      </c>
      <c r="L7" s="28">
        <f>D7/I7</f>
        <v>21.564102564102566</v>
      </c>
      <c r="M7" s="8">
        <v>0.13</v>
      </c>
      <c r="N7" s="8">
        <v>0.159</v>
      </c>
    </row>
    <row r="8">
      <c r="B8" t="inlineStr">
        <is>
          <t xml:space="preserve">Peer C (regional snacks)</t>
        </is>
      </c>
      <c r="D8" s="40">
        <v>4400</v>
      </c>
      <c r="E8" s="40">
        <v>420</v>
      </c>
      <c r="F8" s="41">
        <f>D8+E8</f>
        <v>4820</v>
      </c>
      <c r="G8" s="40">
        <v>3300</v>
      </c>
      <c r="H8" s="40">
        <v>430</v>
      </c>
      <c r="I8" s="40">
        <v>240</v>
      </c>
      <c r="J8" s="32">
        <f>F8/G8</f>
        <v>1.4606060606060607</v>
      </c>
      <c r="K8" s="28">
        <f>F8/H8</f>
        <v>11.209302325581396</v>
      </c>
      <c r="L8" s="28">
        <f>D8/I8</f>
        <v>18.333333333333332</v>
      </c>
      <c r="M8" s="8">
        <v>0.15</v>
      </c>
      <c r="N8" s="8">
        <v>0.13</v>
      </c>
    </row>
    <row r="9">
      <c r="B9" t="inlineStr">
        <is>
          <t xml:space="preserve">Peer D (edible oils and staples)</t>
        </is>
      </c>
      <c r="D9" s="40">
        <v>12910</v>
      </c>
      <c r="E9" s="40">
        <v>2600</v>
      </c>
      <c r="F9" s="41">
        <f>D9+E9</f>
        <v>15510</v>
      </c>
      <c r="G9" s="40">
        <v>26500</v>
      </c>
      <c r="H9" s="40">
        <v>1650</v>
      </c>
      <c r="I9" s="40">
        <v>820</v>
      </c>
      <c r="J9" s="32">
        <f>F9/G9</f>
        <v>0.5852830188679246</v>
      </c>
      <c r="K9" s="28">
        <f>F9/H9</f>
        <v>9.4</v>
      </c>
      <c r="L9" s="28">
        <f>D9/I9</f>
        <v>15.74390243902439</v>
      </c>
      <c r="M9" s="8">
        <v>0.07</v>
      </c>
      <c r="N9" s="8">
        <v>0.062</v>
      </c>
    </row>
    <row r="10">
      <c r="B10" t="inlineStr">
        <is>
          <t xml:space="preserve">Peer E (ready-to-cook)</t>
        </is>
      </c>
      <c r="D10" s="40">
        <v>3550</v>
      </c>
      <c r="E10" s="40">
        <v>-120</v>
      </c>
      <c r="F10" s="41">
        <f>D10+E10</f>
        <v>3430</v>
      </c>
      <c r="G10" s="40">
        <v>1650</v>
      </c>
      <c r="H10" s="40">
        <v>235</v>
      </c>
      <c r="I10" s="40">
        <v>160</v>
      </c>
      <c r="J10" s="32">
        <f>F10/G10</f>
        <v>2.0787878787878786</v>
      </c>
      <c r="K10" s="28">
        <f>F10/H10</f>
        <v>14.595744680851064</v>
      </c>
      <c r="L10" s="28">
        <f>D10/I10</f>
        <v>22.1875</v>
      </c>
      <c r="M10" s="8">
        <v>0.18</v>
      </c>
      <c r="N10" s="8">
        <v>0.142</v>
      </c>
    </row>
    <row r="11">
      <c r="B11" t="inlineStr">
        <is>
          <t xml:space="preserve">Peer F (dairy and beverages)</t>
        </is>
      </c>
      <c r="D11" s="40">
        <v>8820</v>
      </c>
      <c r="E11" s="40">
        <v>380</v>
      </c>
      <c r="F11" s="41">
        <f>D11+E11</f>
        <v>9200</v>
      </c>
      <c r="G11" s="40">
        <v>8200</v>
      </c>
      <c r="H11" s="40">
        <v>760</v>
      </c>
      <c r="I11" s="40">
        <v>455</v>
      </c>
      <c r="J11" s="32">
        <f>F11/G11</f>
        <v>1.1219512195121952</v>
      </c>
      <c r="K11" s="28">
        <f>F11/H11</f>
        <v>12.105263157894736</v>
      </c>
      <c r="L11" s="28">
        <f>D11/I11</f>
        <v>19.384615384615383</v>
      </c>
      <c r="M11" s="8">
        <v>0.12</v>
      </c>
      <c r="N11" s="8">
        <v>0.093</v>
      </c>
    </row>
    <row r="12">
      <c r="B12" t="inlineStr">
        <is>
          <t xml:space="preserve">Peer G (bakery and biscuits)</t>
        </is>
      </c>
      <c r="D12" s="40">
        <v>5020</v>
      </c>
      <c r="E12" s="40">
        <v>60</v>
      </c>
      <c r="F12" s="41">
        <f>D12+E12</f>
        <v>5080</v>
      </c>
      <c r="G12" s="40">
        <v>4100</v>
      </c>
      <c r="H12" s="40">
        <v>470</v>
      </c>
      <c r="I12" s="40">
        <v>300</v>
      </c>
      <c r="J12" s="32">
        <f>F12/G12</f>
        <v>1.2390243902439024</v>
      </c>
      <c r="K12" s="28">
        <f>F12/H12</f>
        <v>10.808510638297872</v>
      </c>
      <c r="L12" s="28">
        <f>D12/I12</f>
        <v>16.733333333333334</v>
      </c>
      <c r="M12" s="8">
        <v>0.1</v>
      </c>
      <c r="N12" s="8">
        <v>0.115</v>
      </c>
    </row>
    <row r="13">
      <c r="B13" t="inlineStr">
        <is>
          <t xml:space="preserve">Peer H (premium foods)</t>
        </is>
      </c>
      <c r="D13" s="40">
        <v>4370</v>
      </c>
      <c r="E13" s="40">
        <v>-60</v>
      </c>
      <c r="F13" s="41">
        <f>D13+E13</f>
        <v>4310</v>
      </c>
      <c r="G13" s="40">
        <v>1500</v>
      </c>
      <c r="H13" s="40">
        <v>255</v>
      </c>
      <c r="I13" s="40">
        <v>175</v>
      </c>
      <c r="J13" s="32">
        <f>F13/G13</f>
        <v>2.8733333333333335</v>
      </c>
      <c r="K13" s="28">
        <f>F13/H13</f>
        <v>16.901960784313726</v>
      </c>
      <c r="L13" s="28">
        <f>D13/I13</f>
        <v>24.97142857142857</v>
      </c>
      <c r="M13" s="8">
        <v>0.2</v>
      </c>
      <c r="N13" s="8">
        <v>0.17</v>
      </c>
    </row>
    <row r="14">
      <c r="B14" s="14" t="inlineStr">
        <is>
          <t xml:space="preserve">Maximum</t>
        </is>
      </c>
      <c r="J14" s="32">
        <f>MAX(J6:J13)</f>
        <v>2.8733333333333335</v>
      </c>
      <c r="K14" s="28">
        <f>MAX(K6:K13)</f>
        <v>16.901960784313726</v>
      </c>
      <c r="L14" s="28">
        <f>MAX(L6:L13)</f>
        <v>24.97142857142857</v>
      </c>
      <c r="M14" s="21">
        <f>MAX(M6:M13)</f>
        <v>0.2</v>
      </c>
      <c r="N14" s="21">
        <f>MAX(N6:N13)</f>
        <v>0.17</v>
      </c>
    </row>
    <row r="15">
      <c r="B15" s="14" t="inlineStr">
        <is>
          <t xml:space="preserve">75th percentile</t>
        </is>
      </c>
      <c r="J15" s="32">
        <f>QUARTILE(J6:J13,3)</f>
        <v>2.26680602006689</v>
      </c>
      <c r="K15" s="28">
        <f>QUARTILE(K6:K13,3)</f>
        <v>14.822374121498026</v>
      </c>
      <c r="L15" s="28">
        <f>QUARTILE(L6:L13,3)</f>
        <v>22.57981418918919</v>
      </c>
      <c r="M15" s="21">
        <f>QUARTILE(M6:M13,3)</f>
        <v>0.1575</v>
      </c>
      <c r="N15" s="21">
        <f>QUARTILE(N6:N13,3)</f>
        <v>0.15925</v>
      </c>
    </row>
    <row r="16">
      <c r="B16" s="14" t="inlineStr">
        <is>
          <t xml:space="preserve">Median</t>
        </is>
      </c>
      <c r="J16" s="42">
        <f>MEDIAN(J6:J13)</f>
        <v>1.7696969696969695</v>
      </c>
      <c r="K16" s="15">
        <f>MEDIAN(K6:K13)</f>
        <v>12.955857385398982</v>
      </c>
      <c r="L16" s="15">
        <f>MEDIAN(L6:L13)</f>
        <v>20.474358974358974</v>
      </c>
      <c r="M16" s="19">
        <f>MEDIAN(M6:M13)</f>
        <v>0.125</v>
      </c>
      <c r="N16" s="19">
        <f>MEDIAN(N6:N13)</f>
        <v>0.136</v>
      </c>
    </row>
    <row r="17">
      <c r="B17" s="14" t="inlineStr">
        <is>
          <t xml:space="preserve">Mean</t>
        </is>
      </c>
      <c r="J17" s="32">
        <f>AVERAGE(J6:J13)</f>
        <v>1.754558298984408</v>
      </c>
      <c r="K17" s="28">
        <f>AVERAGE(K6:K13)</f>
        <v>13.041186955410119</v>
      </c>
      <c r="L17" s="28">
        <f>AVERAGE(L6:L13)</f>
        <v>20.334371547824293</v>
      </c>
      <c r="M17" s="21">
        <f>AVERAGE(M6:M13)</f>
        <v>0.1325</v>
      </c>
      <c r="N17" s="21">
        <f>AVERAGE(N6:N13)</f>
        <v>0.128875</v>
      </c>
    </row>
    <row r="18">
      <c r="B18" s="14" t="inlineStr">
        <is>
          <t xml:space="preserve">25th percentile</t>
        </is>
      </c>
      <c r="J18" s="32">
        <f>QUARTILE(J6:J13,1)</f>
        <v>1.2097560975609756</v>
      </c>
      <c r="K18" s="28">
        <f>QUARTILE(K6:K13,1)</f>
        <v>11.109104403760515</v>
      </c>
      <c r="L18" s="28">
        <f>QUARTILE(L6:L13,1)</f>
        <v>17.933333333333334</v>
      </c>
      <c r="M18" s="21">
        <f>QUARTILE(M6:M13,1)</f>
        <v>0.1075</v>
      </c>
      <c r="N18" s="21">
        <f>QUARTILE(N6:N13,1)</f>
        <v>0.1095</v>
      </c>
    </row>
    <row r="19">
      <c r="B19" s="14" t="inlineStr">
        <is>
          <t xml:space="preserve">Minimum</t>
        </is>
      </c>
      <c r="J19" s="32">
        <f>MIN(J6:J13)</f>
        <v>0.5852830188679246</v>
      </c>
      <c r="K19" s="28">
        <f>MIN(K6:K13)</f>
        <v>9.4</v>
      </c>
      <c r="L19" s="28">
        <f>MIN(L6:L13)</f>
        <v>15.74390243902439</v>
      </c>
      <c r="M19" s="21">
        <f>MIN(M6:M13)</f>
        <v>0.07</v>
      </c>
      <c r="N19" s="21">
        <f>MIN(N6:N13)</f>
        <v>0.062</v>
      </c>
    </row>
    <row r="22">
      <c r="B22" s="4" t="inlineStr">
        <is>
          <t xml:space="preserve">Implied value of the target</t>
        </is>
      </c>
    </row>
    <row r="23">
      <c r="B23" t="inlineStr">
        <is>
          <t xml:space="preserve">Target revenue, NTM (FY27E)</t>
        </is>
      </c>
      <c r="D23" s="24">
        <f>IS!$G$6</f>
        <v>2711.9999999999995</v>
      </c>
    </row>
    <row r="24">
      <c r="B24" t="inlineStr">
        <is>
          <t xml:space="preserve">Target EBITDA, NTM (FY27E)</t>
        </is>
      </c>
      <c r="D24" s="24">
        <f>IS!$G$12</f>
        <v>474.5999999999998</v>
      </c>
    </row>
    <row r="25">
      <c r="B25" t="inlineStr">
        <is>
          <t xml:space="preserve">Target standalone net income, NTM (FY27E) (pre-deal capital structure)</t>
        </is>
      </c>
      <c r="D25" s="22">
        <f>(IS!$G$15-IS!$F$17+IS!$F$16)*(1-Tax_Rate)</f>
        <v>302.16353999999984</v>
      </c>
    </row>
    <row r="26">
      <c r="B26" t="inlineStr">
        <is>
          <t xml:space="preserve">Standalone net debt</t>
        </is>
      </c>
      <c r="D26" s="24">
        <f>BS!$D$22-BS!$D$7</f>
        <v>-60</v>
      </c>
    </row>
    <row r="28">
      <c r="B28" s="17" t="inlineStr">
        <is>
          <t xml:space="preserve">Implied price per share</t>
        </is>
      </c>
      <c r="C28" s="17"/>
      <c r="D28" s="16" t="inlineStr">
        <is>
          <t xml:space="preserve">25th pct</t>
        </is>
      </c>
      <c r="E28" s="16" t="inlineStr">
        <is>
          <t xml:space="preserve">Median</t>
        </is>
      </c>
      <c r="F28" s="16" t="inlineStr">
        <is>
          <t xml:space="preserve">75th pct</t>
        </is>
      </c>
    </row>
    <row r="29">
      <c r="B29" t="inlineStr">
        <is>
          <t xml:space="preserve">EV / Revenue</t>
        </is>
      </c>
      <c r="D29" s="43">
        <f>($J$18*$D$23-$D$26)/Diluted_Shares</f>
        <v>278.4048780487804</v>
      </c>
      <c r="E29" s="43">
        <f>($J$16*$D$23-$D$26)/Diluted_Shares</f>
        <v>404.951515151515</v>
      </c>
      <c r="F29" s="43">
        <f>($J$15*$D$23-$D$26)/Diluted_Shares</f>
        <v>517.2981605351171</v>
      </c>
    </row>
    <row r="30">
      <c r="B30" t="inlineStr">
        <is>
          <t xml:space="preserve">EV / EBITDA</t>
        </is>
      </c>
      <c r="D30" s="43">
        <f>($K$18*$D$24-$D$26)/Diluted_Shares</f>
        <v>444.3650791687282</v>
      </c>
      <c r="E30" s="43">
        <f>($K$16*$D$24-$D$26)/Diluted_Shares</f>
        <v>517.4041595925295</v>
      </c>
      <c r="F30" s="43">
        <f>($K$15*$D$24-$D$26)/Diluted_Shares</f>
        <v>591.2248965052466</v>
      </c>
    </row>
    <row r="31">
      <c r="B31" t="inlineStr">
        <is>
          <t xml:space="preserve">P / E</t>
        </is>
      </c>
      <c r="D31" s="43">
        <f>($L$18*$D$25)/Diluted_Shares</f>
        <v>451.56662366666643</v>
      </c>
      <c r="E31" s="43">
        <f>($L$16*$D$25)/Diluted_Shares</f>
        <v>515.5503989102561</v>
      </c>
      <c r="F31" s="43">
        <f>($L$15*$D$25)/Diluted_Shares</f>
        <v>568.5663823289693</v>
      </c>
    </row>
    <row r="33">
      <c r="B33" s="17" t="inlineStr">
        <is>
          <t xml:space="preserve">Precedent transactions</t>
        </is>
      </c>
      <c r="C33" s="16" t="inlineStr">
        <is>
          <t xml:space="preserve">Year</t>
        </is>
      </c>
      <c r="D33" s="16" t="inlineStr">
        <is>
          <t xml:space="preserve">EV / LTM EBITDA</t>
        </is>
      </c>
      <c r="E33" s="16" t="inlineStr">
        <is>
          <t xml:space="preserve">Premium</t>
        </is>
      </c>
      <c r="F33" s="16" t="inlineStr">
        <is>
          <t xml:space="preserve">Acquirer</t>
        </is>
      </c>
    </row>
    <row r="34">
      <c r="B34" t="inlineStr">
        <is>
          <t xml:space="preserve">Precedent 1 (regional spices brand)</t>
        </is>
      </c>
      <c r="C34" s="44" t="inlineStr">
        <is>
          <t xml:space="preserve">FY22</t>
        </is>
      </c>
      <c r="D34" s="13">
        <v>17.5</v>
      </c>
      <c r="E34" s="8">
        <v>0.28</v>
      </c>
      <c r="F34" s="44" t="inlineStr">
        <is>
          <t xml:space="preserve">Strategic acquirer</t>
        </is>
      </c>
    </row>
    <row r="35">
      <c r="B35" t="inlineStr">
        <is>
          <t xml:space="preserve">Precedent 2 (ready-to-eat brand)</t>
        </is>
      </c>
      <c r="C35" s="44" t="inlineStr">
        <is>
          <t xml:space="preserve">FY23</t>
        </is>
      </c>
      <c r="D35" s="13">
        <v>14.2</v>
      </c>
      <c r="E35" s="8">
        <v>0.22</v>
      </c>
      <c r="F35" s="44" t="inlineStr">
        <is>
          <t xml:space="preserve">Financial sponsor</t>
        </is>
      </c>
    </row>
    <row r="36">
      <c r="B36" t="inlineStr">
        <is>
          <t xml:space="preserve">Precedent 3 (packaged staples)</t>
        </is>
      </c>
      <c r="C36" s="44" t="inlineStr">
        <is>
          <t xml:space="preserve">FY23</t>
        </is>
      </c>
      <c r="D36" s="13">
        <v>12.6</v>
      </c>
      <c r="E36" s="8">
        <v>0.18</v>
      </c>
      <c r="F36" s="44" t="inlineStr">
        <is>
          <t xml:space="preserve">Financial sponsor</t>
        </is>
      </c>
    </row>
    <row r="37">
      <c r="B37" t="inlineStr">
        <is>
          <t xml:space="preserve">Precedent 4 (snacks platform)</t>
        </is>
      </c>
      <c r="C37" s="44" t="inlineStr">
        <is>
          <t xml:space="preserve">FY24</t>
        </is>
      </c>
      <c r="D37" s="13">
        <v>18</v>
      </c>
      <c r="E37" s="8">
        <v>0.35</v>
      </c>
      <c r="F37" s="44" t="inlineStr">
        <is>
          <t xml:space="preserve">Strategic acquirer</t>
        </is>
      </c>
    </row>
    <row r="38">
      <c r="B38" t="inlineStr">
        <is>
          <t xml:space="preserve">Precedent 5 (dairy brand)</t>
        </is>
      </c>
      <c r="C38" s="44" t="inlineStr">
        <is>
          <t xml:space="preserve">FY25</t>
        </is>
      </c>
      <c r="D38" s="13">
        <v>13.1</v>
      </c>
      <c r="E38" s="8">
        <v>0.2</v>
      </c>
      <c r="F38" s="44" t="inlineStr">
        <is>
          <t xml:space="preserve">Financial sponsor</t>
        </is>
      </c>
    </row>
    <row r="39">
      <c r="B39" t="inlineStr">
        <is>
          <t xml:space="preserve">Precedent 6 (condiments brand)</t>
        </is>
      </c>
      <c r="C39" s="44" t="inlineStr">
        <is>
          <t xml:space="preserve">FY25</t>
        </is>
      </c>
      <c r="D39" s="13">
        <v>15.4</v>
      </c>
      <c r="E39" s="8">
        <v>0.26</v>
      </c>
      <c r="F39" s="44" t="inlineStr">
        <is>
          <t xml:space="preserve">Strategic acquirer</t>
        </is>
      </c>
    </row>
    <row r="40">
      <c r="B40" s="14" t="inlineStr">
        <is>
          <t xml:space="preserve">75th percentile</t>
        </is>
      </c>
      <c r="D40" s="28">
        <f>QUARTILE(D34:D39,3)</f>
        <v>16.975</v>
      </c>
      <c r="E40" s="21">
        <f>QUARTILE(E34:E39,3)</f>
        <v>0.275</v>
      </c>
    </row>
    <row r="41">
      <c r="B41" s="14" t="inlineStr">
        <is>
          <t xml:space="preserve">Median</t>
        </is>
      </c>
      <c r="D41" s="15">
        <f>MEDIAN(D34:D39)</f>
        <v>14.8</v>
      </c>
      <c r="E41" s="19">
        <f>MEDIAN(E34:E39)</f>
        <v>0.24</v>
      </c>
    </row>
    <row r="42">
      <c r="B42" s="14" t="inlineStr">
        <is>
          <t xml:space="preserve">25th percentile</t>
        </is>
      </c>
      <c r="D42" s="28">
        <f>QUARTILE(D34:D39,1)</f>
        <v>13.375</v>
      </c>
      <c r="E42" s="21">
        <f>QUARTILE(E34:E39,1)</f>
        <v>0.20500000000000002</v>
      </c>
    </row>
    <row r="44">
      <c r="B44" s="17" t="inlineStr">
        <is>
          <t xml:space="preserve">Implied price per share</t>
        </is>
      </c>
      <c r="C44" s="17"/>
      <c r="D44" s="16" t="inlineStr">
        <is>
          <t xml:space="preserve">25th pct</t>
        </is>
      </c>
      <c r="E44" s="16" t="inlineStr">
        <is>
          <t xml:space="preserve">Median</t>
        </is>
      </c>
      <c r="F44" s="16" t="inlineStr">
        <is>
          <t xml:space="preserve">75th pct</t>
        </is>
      </c>
    </row>
    <row r="45">
      <c r="B45" t="inlineStr">
        <is>
          <t xml:space="preserve">EV / LTM EBITDA (FY26A)</t>
        </is>
      </c>
      <c r="D45" s="43">
        <f>($D$42*Deal!$D$11-$D$26)/Diluted_Shares</f>
        <v>459.75</v>
      </c>
      <c r="E45" s="43">
        <f>($D$41*Deal!$D$11-$D$26)/Diluted_Shares</f>
        <v>508.20000000000005</v>
      </c>
      <c r="F45" s="43">
        <f>($D$40*Deal!$D$11-$D$26)/Diluted_Shares</f>
        <v>582.15</v>
      </c>
    </row>
    <row r="46">
      <c r="B46" t="inlineStr">
        <is>
          <t xml:space="preserve">Premium to unaffected price</t>
        </is>
      </c>
      <c r="D46" s="43">
        <f>Unaffected_Price*(1+$E$42)</f>
        <v>457.90000000000003</v>
      </c>
      <c r="E46" s="43">
        <f>Unaffected_Price*(1+$E$41)</f>
        <v>471.2</v>
      </c>
      <c r="F46" s="43">
        <f>Unaffected_Price*(1+$E$40)</f>
        <v>484.49999999999994</v>
      </c>
    </row>
  </sheetData>
  <pageMargins left="0.5" right="0.5" top="0.6" bottom="0.6" header="0.3" footer="0.3"/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F7F7F"/>
  </sheetPr>
  <dimension ref="A1:H53"/>
  <sheetViews>
    <sheetView showGridLines="0" zoomScale="90" workbookViewId="0"/>
  </sheetViews>
  <sheetFormatPr defaultRowHeight="13.8"/>
  <cols>
    <col min="1" max="1" width="2.5" customWidth="1"/>
    <col min="2" max="2" width="34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Sensitivity tables</t>
        </is>
      </c>
    </row>
    <row r="3">
      <c r="B3" s="2" t="inlineStr">
        <is>
          <t xml:space="preserve">Static values computed by the STOCKEX engine (base case). Re-run `deal-model` after changing inputs.</t>
        </is>
      </c>
    </row>
    <row r="6">
      <c r="B6" s="4" t="inlineStr">
        <is>
          <t xml:space="preserve">Sponsor IRR: entry vs exit multiple</t>
        </is>
      </c>
    </row>
    <row r="7">
      <c r="B7" s="25" t="inlineStr">
        <is>
          <t xml:space="preserve">Entry EV / LTM EBITDA (rows) / Exit EV / EBITDA (columns)</t>
        </is>
      </c>
    </row>
    <row r="8">
      <c r="B8" s="17"/>
      <c r="C8" s="17"/>
      <c r="D8" s="45">
        <v>11.5</v>
      </c>
      <c r="E8" s="45">
        <v>12.5</v>
      </c>
      <c r="F8" s="45">
        <v>13.5</v>
      </c>
      <c r="G8" s="45">
        <v>14.5</v>
      </c>
      <c r="H8" s="45">
        <v>15.5</v>
      </c>
    </row>
    <row r="9">
      <c r="C9" s="46">
        <v>11.823529411764707</v>
      </c>
      <c r="D9" s="21">
        <v>0.2144066227412646</v>
      </c>
      <c r="E9" s="21">
        <v>0.23503866876936275</v>
      </c>
      <c r="F9" s="21">
        <v>0.25437759643044233</v>
      </c>
      <c r="G9" s="21">
        <v>0.27259260110488426</v>
      </c>
      <c r="H9" s="21">
        <v>0.2898207601522089</v>
      </c>
    </row>
    <row r="10">
      <c r="C10" s="46">
        <v>12.823529411764707</v>
      </c>
      <c r="D10" s="21">
        <v>0.18760730239021922</v>
      </c>
      <c r="E10" s="21">
        <v>0.20771672138607533</v>
      </c>
      <c r="F10" s="21">
        <v>0.22656965964817266</v>
      </c>
      <c r="G10" s="21">
        <v>0.24433004862204566</v>
      </c>
      <c r="H10" s="21">
        <v>0.2611307840305471</v>
      </c>
    </row>
    <row r="11">
      <c r="C11" s="46">
        <v>13.823529411764707</v>
      </c>
      <c r="D11" s="21">
        <v>0.1641587898764757</v>
      </c>
      <c r="E11" s="21">
        <v>0.18380560771836169</v>
      </c>
      <c r="F11" s="31">
        <v>0.20222861840833073</v>
      </c>
      <c r="G11" s="21">
        <v>0.21958703519315542</v>
      </c>
      <c r="H11" s="21">
        <v>0.23601000908653502</v>
      </c>
    </row>
    <row r="12">
      <c r="C12" s="46">
        <v>14.823529411764707</v>
      </c>
      <c r="D12" s="21">
        <v>0.14337573410608395</v>
      </c>
      <c r="E12" s="21">
        <v>0.16260785185746263</v>
      </c>
      <c r="F12" s="21">
        <v>0.18064566133750248</v>
      </c>
      <c r="G12" s="21">
        <v>0.19764409627561608</v>
      </c>
      <c r="H12" s="21">
        <v>0.2137289138783276</v>
      </c>
    </row>
    <row r="13">
      <c r="C13" s="46">
        <v>15.823529411764707</v>
      </c>
      <c r="D13" s="21">
        <v>0.12475917233561257</v>
      </c>
      <c r="E13" s="21">
        <v>0.14361565124874576</v>
      </c>
      <c r="F13" s="21">
        <v>0.1613047224123736</v>
      </c>
      <c r="G13" s="21">
        <v>0.17797740043278004</v>
      </c>
      <c r="H13" s="21">
        <v>0.19375633672269238</v>
      </c>
    </row>
    <row r="16">
      <c r="B16" s="4" t="inlineStr">
        <is>
          <t xml:space="preserve">Sponsor MOIC: entry vs exit multiple</t>
        </is>
      </c>
    </row>
    <row r="17">
      <c r="B17" s="25" t="inlineStr">
        <is>
          <t xml:space="preserve">Entry EV / LTM EBITDA (rows) / Exit EV / EBITDA (columns)</t>
        </is>
      </c>
    </row>
    <row r="18">
      <c r="B18" s="17"/>
      <c r="C18" s="17"/>
      <c r="D18" s="45">
        <v>11.5</v>
      </c>
      <c r="E18" s="45">
        <v>12.5</v>
      </c>
      <c r="F18" s="45">
        <v>13.5</v>
      </c>
      <c r="G18" s="45">
        <v>14.5</v>
      </c>
      <c r="H18" s="45">
        <v>15.5</v>
      </c>
    </row>
    <row r="19">
      <c r="C19" s="46">
        <v>11.823529411764707</v>
      </c>
      <c r="D19" s="32">
        <v>2.6413176586439393</v>
      </c>
      <c r="E19" s="32">
        <v>2.8734442624130296</v>
      </c>
      <c r="F19" s="32">
        <v>3.1055708661821195</v>
      </c>
      <c r="G19" s="32">
        <v>3.337697469951211</v>
      </c>
      <c r="H19" s="32">
        <v>3.5698240737203006</v>
      </c>
    </row>
    <row r="20">
      <c r="C20" s="46">
        <v>12.823529411764707</v>
      </c>
      <c r="D20" s="32">
        <v>2.362459089824897</v>
      </c>
      <c r="E20" s="32">
        <v>2.5693625914211737</v>
      </c>
      <c r="F20" s="32">
        <v>2.7762660930174494</v>
      </c>
      <c r="G20" s="32">
        <v>2.9831695946137256</v>
      </c>
      <c r="H20" s="32">
        <v>3.1900730962100017</v>
      </c>
    </row>
    <row r="21">
      <c r="C21" s="46">
        <v>13.823529411764707</v>
      </c>
      <c r="D21" s="32">
        <v>2.138262935694413</v>
      </c>
      <c r="E21" s="32">
        <v>2.324887618080171</v>
      </c>
      <c r="F21" s="30">
        <v>2.5115123004659283</v>
      </c>
      <c r="G21" s="32">
        <v>2.698136982851687</v>
      </c>
      <c r="H21" s="32">
        <v>2.8847616652374444</v>
      </c>
    </row>
    <row r="22">
      <c r="C22" s="46">
        <v>14.823529411764707</v>
      </c>
      <c r="D22" s="32">
        <v>1.9540913157016184</v>
      </c>
      <c r="E22" s="32">
        <v>2.1240574474533256</v>
      </c>
      <c r="F22" s="32">
        <v>2.2940235792050325</v>
      </c>
      <c r="G22" s="32">
        <v>2.4639897109567404</v>
      </c>
      <c r="H22" s="32">
        <v>2.6339558427084473</v>
      </c>
    </row>
    <row r="23">
      <c r="C23" s="46">
        <v>15.823529411764707</v>
      </c>
      <c r="D23" s="32">
        <v>1.800104499555447</v>
      </c>
      <c r="E23" s="32">
        <v>1.9561423334844625</v>
      </c>
      <c r="F23" s="32">
        <v>2.1121801674134772</v>
      </c>
      <c r="G23" s="32">
        <v>2.2682180013424933</v>
      </c>
      <c r="H23" s="32">
        <v>2.424255835271508</v>
      </c>
    </row>
    <row r="26">
      <c r="B26" s="4" t="inlineStr">
        <is>
          <t xml:space="preserve">Sponsor IRR: leverage vs exit multiple</t>
        </is>
      </c>
    </row>
    <row r="27">
      <c r="B27" s="25" t="inlineStr">
        <is>
          <t xml:space="preserve">Total debt / LTM EBITDA (rows) / Exit EV / EBITDA (columns)</t>
        </is>
      </c>
    </row>
    <row r="28">
      <c r="B28" s="17"/>
      <c r="C28" s="17"/>
      <c r="D28" s="45">
        <v>11.5</v>
      </c>
      <c r="E28" s="45">
        <v>12.5</v>
      </c>
      <c r="F28" s="45">
        <v>13.5</v>
      </c>
      <c r="G28" s="45">
        <v>14.5</v>
      </c>
      <c r="H28" s="45">
        <v>15.5</v>
      </c>
    </row>
    <row r="29">
      <c r="C29" s="46">
        <v>3</v>
      </c>
      <c r="D29" s="21">
        <v>0.15805572837390003</v>
      </c>
      <c r="E29" s="21">
        <v>0.176422716978673</v>
      </c>
      <c r="F29" s="21">
        <v>0.19370951988262003</v>
      </c>
      <c r="G29" s="21">
        <v>0.21004934719906831</v>
      </c>
      <c r="H29" s="21">
        <v>0.2255514835814546</v>
      </c>
    </row>
    <row r="30">
      <c r="C30" s="46">
        <v>3.5</v>
      </c>
      <c r="D30" s="21">
        <v>0.16101865769506996</v>
      </c>
      <c r="E30" s="21">
        <v>0.18000160593754566</v>
      </c>
      <c r="F30" s="21">
        <v>0.1978362185216107</v>
      </c>
      <c r="G30" s="21">
        <v>0.21466787846694074</v>
      </c>
      <c r="H30" s="21">
        <v>0.23061520723431095</v>
      </c>
    </row>
    <row r="31">
      <c r="C31" s="46">
        <v>4</v>
      </c>
      <c r="D31" s="21">
        <v>0.1641587898764757</v>
      </c>
      <c r="E31" s="21">
        <v>0.18380560771836169</v>
      </c>
      <c r="F31" s="31">
        <v>0.20222861840833073</v>
      </c>
      <c r="G31" s="21">
        <v>0.21958703519315542</v>
      </c>
      <c r="H31" s="21">
        <v>0.23601000908653502</v>
      </c>
    </row>
    <row r="32">
      <c r="C32" s="46">
        <v>4.5</v>
      </c>
      <c r="D32" s="21">
        <v>0.16728431936922533</v>
      </c>
      <c r="E32" s="21">
        <v>0.1876631878822625</v>
      </c>
      <c r="F32" s="21">
        <v>0.20673233953354853</v>
      </c>
      <c r="G32" s="21">
        <v>0.22466717796836266</v>
      </c>
      <c r="H32" s="21">
        <v>0.24160907964647665</v>
      </c>
    </row>
    <row r="33">
      <c r="C33" s="46">
        <v>5</v>
      </c>
      <c r="D33" s="21">
        <v>0.16994164770263093</v>
      </c>
      <c r="E33" s="21">
        <v>0.19116250149791464</v>
      </c>
      <c r="F33" s="21">
        <v>0.210970753280451</v>
      </c>
      <c r="G33" s="21">
        <v>0.22956183850585887</v>
      </c>
      <c r="H33" s="21">
        <v>0.2470921145601821</v>
      </c>
    </row>
    <row r="36">
      <c r="B36" s="4" t="inlineStr">
        <is>
          <t xml:space="preserve">Sponsor IRR: growth vs margin shift</t>
        </is>
      </c>
    </row>
    <row r="37">
      <c r="B37" s="25" t="inlineStr">
        <is>
          <t xml:space="preserve">Revenue growth shift (every year) (rows) / EBITDA margin shift (every year) (columns)</t>
        </is>
      </c>
    </row>
    <row r="38">
      <c r="B38" s="17"/>
      <c r="C38" s="17"/>
      <c r="D38" s="47">
        <v>-0.02</v>
      </c>
      <c r="E38" s="47">
        <v>-0.01</v>
      </c>
      <c r="F38" s="47">
        <v>0</v>
      </c>
      <c r="G38" s="47">
        <v>0.01</v>
      </c>
      <c r="H38" s="47">
        <v>0.02</v>
      </c>
    </row>
    <row r="39">
      <c r="C39" s="48">
        <v>-0.04</v>
      </c>
      <c r="D39" s="21">
        <v>0.12249131177823874</v>
      </c>
      <c r="E39" s="21">
        <v>0.13933145159573662</v>
      </c>
      <c r="F39" s="21">
        <v>0.15518464390868691</v>
      </c>
      <c r="G39" s="21">
        <v>0.16991972362249108</v>
      </c>
      <c r="H39" s="21">
        <v>0.18385057781155628</v>
      </c>
    </row>
    <row r="40">
      <c r="C40" s="48">
        <v>-0.02</v>
      </c>
      <c r="D40" s="21">
        <v>0.1464824902101411</v>
      </c>
      <c r="E40" s="21">
        <v>0.16325806829490447</v>
      </c>
      <c r="F40" s="21">
        <v>0.1788577499697977</v>
      </c>
      <c r="G40" s="21">
        <v>0.19356201545787122</v>
      </c>
      <c r="H40" s="21">
        <v>0.20753112047237854</v>
      </c>
    </row>
    <row r="41">
      <c r="C41" s="48">
        <v>0</v>
      </c>
      <c r="D41" s="21">
        <v>0.1701103885265805</v>
      </c>
      <c r="E41" s="21">
        <v>0.1866907566400352</v>
      </c>
      <c r="F41" s="31">
        <v>0.20222861840833073</v>
      </c>
      <c r="G41" s="21">
        <v>0.2169819893786541</v>
      </c>
      <c r="H41" s="21">
        <v>0.2310200898834579</v>
      </c>
    </row>
    <row r="42">
      <c r="C42" s="48">
        <v>0.02</v>
      </c>
      <c r="D42" s="21">
        <v>0.1933273448256027</v>
      </c>
      <c r="E42" s="21">
        <v>0.20979006002011413</v>
      </c>
      <c r="F42" s="21">
        <v>0.22539347703383572</v>
      </c>
      <c r="G42" s="21">
        <v>0.2402154077862214</v>
      </c>
      <c r="H42" s="21">
        <v>0.25433763470970283</v>
      </c>
    </row>
    <row r="43">
      <c r="C43" s="48">
        <v>0.04</v>
      </c>
      <c r="D43" s="21">
        <v>0.2161558068150669</v>
      </c>
      <c r="E43" s="21">
        <v>0.23269524579831757</v>
      </c>
      <c r="F43" s="21">
        <v>0.2483848094355291</v>
      </c>
      <c r="G43" s="21">
        <v>0.26328720487477497</v>
      </c>
      <c r="H43" s="21">
        <v>0.27750777251981085</v>
      </c>
    </row>
    <row r="46">
      <c r="B46" s="4" t="inlineStr">
        <is>
          <t xml:space="preserve">DCF value per share: WACC vs terminal growth</t>
        </is>
      </c>
    </row>
    <row r="47">
      <c r="B47" s="25" t="inlineStr">
        <is>
          <t xml:space="preserve">WACC (rows) / Terminal growth (columns)</t>
        </is>
      </c>
    </row>
    <row r="48">
      <c r="B48" s="17"/>
      <c r="C48" s="17"/>
      <c r="D48" s="49">
        <v>0.045</v>
      </c>
      <c r="E48" s="49">
        <v>0.05</v>
      </c>
      <c r="F48" s="49">
        <v>0.055</v>
      </c>
      <c r="G48" s="49">
        <v>0.06</v>
      </c>
      <c r="H48" s="49">
        <v>0.065</v>
      </c>
    </row>
    <row r="49">
      <c r="C49" s="50">
        <v>0.12093135201500023</v>
      </c>
      <c r="D49" s="43">
        <v>443.61049369475563</v>
      </c>
      <c r="E49" s="43">
        <v>468.556888302873</v>
      </c>
      <c r="F49" s="43">
        <v>497.28697516751225</v>
      </c>
      <c r="G49" s="43">
        <v>530.7322186657292</v>
      </c>
      <c r="H49" s="43">
        <v>570.1571573247653</v>
      </c>
    </row>
    <row r="50">
      <c r="C50" s="50">
        <v>0.12593135201500022</v>
      </c>
      <c r="D50" s="43">
        <v>415.8269141979919</v>
      </c>
      <c r="E50" s="43">
        <v>437.35295177528</v>
      </c>
      <c r="F50" s="43">
        <v>461.9137598688181</v>
      </c>
      <c r="G50" s="43">
        <v>490.1997771902741</v>
      </c>
      <c r="H50" s="43">
        <v>523.1280708417372</v>
      </c>
    </row>
    <row r="51">
      <c r="C51" s="50">
        <v>0.13093135201500022</v>
      </c>
      <c r="D51" s="43">
        <v>391.2933331871627</v>
      </c>
      <c r="E51" s="43">
        <v>410.02163596517494</v>
      </c>
      <c r="F51" s="39">
        <v>431.21641698715575</v>
      </c>
      <c r="G51" s="43">
        <v>455.3992675185826</v>
      </c>
      <c r="H51" s="43">
        <v>483.2500013547421</v>
      </c>
    </row>
    <row r="52">
      <c r="C52" s="50">
        <v>0.13593135201500023</v>
      </c>
      <c r="D52" s="43">
        <v>369.4732899948899</v>
      </c>
      <c r="E52" s="43">
        <v>385.8865980410944</v>
      </c>
      <c r="F52" s="43">
        <v>404.32795920114785</v>
      </c>
      <c r="G52" s="43">
        <v>425.19800899516775</v>
      </c>
      <c r="H52" s="43">
        <v>449.0103472414938</v>
      </c>
    </row>
    <row r="53">
      <c r="C53" s="50">
        <v>0.14093135201500023</v>
      </c>
      <c r="D53" s="43">
        <v>349.9421749542044</v>
      </c>
      <c r="E53" s="43">
        <v>364.42026261619986</v>
      </c>
      <c r="F53" s="43">
        <v>380.58319374015645</v>
      </c>
      <c r="G53" s="43">
        <v>398.7432410275698</v>
      </c>
      <c r="H53" s="43">
        <v>419.2949285012168</v>
      </c>
    </row>
  </sheetData>
  <pageMargins left="0.5" right="0.5" top="0.6" bottom="0.6" header="0.3" footer="0.3"/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F7F7F"/>
  </sheetPr>
  <dimension ref="A1:F16"/>
  <sheetViews>
    <sheetView showGridLines="0" zoomScale="90" workbookViewId="0"/>
  </sheetViews>
  <sheetFormatPr defaultRowHeight="13.8"/>
  <cols>
    <col min="1" max="1" width="2.5" customWidth="1"/>
    <col min="2" max="2" width="52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Valuation football field (per share)</t>
        </is>
      </c>
    </row>
    <row r="3">
      <c r="B3" s="2" t="inlineStr">
        <is>
          <t xml:space="preserve">Static values from the STOCKEX engine.</t>
        </is>
      </c>
    </row>
    <row r="5">
      <c r="B5" s="17" t="inlineStr">
        <is>
          <t xml:space="preserve">Method</t>
        </is>
      </c>
      <c r="C5" s="17"/>
      <c r="D5" s="16" t="inlineStr">
        <is>
          <t xml:space="preserve">Low</t>
        </is>
      </c>
      <c r="E5" s="16" t="inlineStr">
        <is>
          <t xml:space="preserve">High</t>
        </is>
      </c>
      <c r="F5" s="16" t="inlineStr">
        <is>
          <t xml:space="preserve">Mid</t>
        </is>
      </c>
    </row>
    <row r="6">
      <c r="B6" t="inlineStr">
        <is>
          <t xml:space="preserve">52-week trading range</t>
        </is>
      </c>
      <c r="D6" s="43">
        <v>331</v>
      </c>
      <c r="E6" s="43">
        <v>436</v>
      </c>
      <c r="F6" s="43">
        <v>383.5</v>
      </c>
    </row>
    <row r="7">
      <c r="B7" t="inlineStr">
        <is>
          <t xml:space="preserve">Trading comps EV/EBITDA, NTM (FY27E) (Q1-Q3)</t>
        </is>
      </c>
      <c r="D7" s="43">
        <v>444.3650791687282</v>
      </c>
      <c r="E7" s="43">
        <v>591.2248965052466</v>
      </c>
      <c r="F7" s="43">
        <v>517.7949878369874</v>
      </c>
    </row>
    <row r="8">
      <c r="B8" t="inlineStr">
        <is>
          <t xml:space="preserve">Trading comps P/E, NTM (FY27E) (Q1-Q3)</t>
        </is>
      </c>
      <c r="D8" s="43">
        <v>451.56662366666643</v>
      </c>
      <c r="E8" s="43">
        <v>568.5663823289693</v>
      </c>
      <c r="F8" s="43">
        <v>510.0665029978179</v>
      </c>
    </row>
    <row r="9">
      <c r="B9" t="inlineStr">
        <is>
          <t xml:space="preserve">Precedents EV/EBITDA, LTM (FY26A) (Q1-Q3)</t>
        </is>
      </c>
      <c r="D9" s="43">
        <v>459.75</v>
      </c>
      <c r="E9" s="43">
        <v>582.15</v>
      </c>
      <c r="F9" s="43">
        <v>520.95</v>
      </c>
    </row>
    <row r="10">
      <c r="B10" t="inlineStr">
        <is>
          <t xml:space="preserve">Precedent premiums to unaffected (Q1-Q3)</t>
        </is>
      </c>
      <c r="D10" s="43">
        <v>457.90000000000003</v>
      </c>
      <c r="E10" s="43">
        <v>484.49999999999994</v>
      </c>
      <c r="F10" s="43">
        <v>471.2</v>
      </c>
    </row>
    <row r="11">
      <c r="B11" t="inlineStr">
        <is>
          <t xml:space="preserve">DCF, WACC +/-0.5%, g +/-0.5%</t>
        </is>
      </c>
      <c r="D11" s="43">
        <v>385.8865980410944</v>
      </c>
      <c r="E11" s="43">
        <v>490.1997771902741</v>
      </c>
      <c r="F11" s="43">
        <v>438.04318761568425</v>
      </c>
    </row>
    <row r="12">
      <c r="B12" t="inlineStr">
        <is>
          <t xml:space="preserve">LBO ability to pay (25%-20% sponsor IRR)</t>
        </is>
      </c>
      <c r="D12" s="43">
        <v>412.04187872050073</v>
      </c>
      <c r="E12" s="43">
        <v>478.3337499302631</v>
      </c>
      <c r="F12" s="43">
        <v>445.1878143253819</v>
      </c>
    </row>
    <row r="14">
      <c r="B14" s="14" t="inlineStr">
        <is>
          <t xml:space="preserve">Unaffected price</t>
        </is>
      </c>
      <c r="D14" s="39">
        <v>380</v>
      </c>
    </row>
    <row r="15">
      <c r="B15" s="14" t="inlineStr">
        <is>
          <t xml:space="preserve">Offer price</t>
        </is>
      </c>
      <c r="D15" s="39">
        <v>475</v>
      </c>
    </row>
    <row r="16">
      <c r="B16" s="14" t="inlineStr">
        <is>
          <t xml:space="preserve">Maximum bid (lower of base-case hurdle IRR and downside 1.0x)</t>
        </is>
      </c>
      <c r="D16" s="39">
        <v>478.3337499302631</v>
      </c>
    </row>
  </sheetData>
  <pageMargins left="0.5" right="0.5" top="0.6" bottom="0.6" header="0.3" footer="0.3"/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C55A11"/>
  </sheetPr>
  <dimension ref="A1:K15"/>
  <sheetViews>
    <sheetView showGridLines="0" zoomScale="9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.5" customWidth="1"/>
    <col min="2" max="2" width="46" customWidth="1"/>
    <col min="3" max="3" width="11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2.5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</cols>
  <sheetData>
    <row r="2">
      <c r="B2" s="1" t="inlineStr">
        <is>
          <t xml:space="preserve">Model integrity checks</t>
        </is>
      </c>
    </row>
    <row r="3">
      <c r="B3" s="2" t="inlineStr">
        <is>
          <t xml:space="preserve">Every check must be zero. The overall flag feeds the cover.</t>
        </is>
      </c>
    </row>
    <row r="5">
      <c r="B5" s="17" t="inlineStr">
        <is>
          <t xml:space="preserve">Per-year checks</t>
        </is>
      </c>
      <c r="C5" s="16" t="inlineStr">
        <is>
          <t xml:space="preserve">INR crore</t>
        </is>
      </c>
      <c r="D5" s="16"/>
      <c r="E5" s="16"/>
      <c r="F5" s="16"/>
      <c r="G5" s="16" t="inlineStr">
        <is>
          <t xml:space="preserve">FY27E</t>
        </is>
      </c>
      <c r="H5" s="16" t="inlineStr">
        <is>
          <t xml:space="preserve">FY28E</t>
        </is>
      </c>
      <c r="I5" s="16" t="inlineStr">
        <is>
          <t xml:space="preserve">FY29E</t>
        </is>
      </c>
      <c r="J5" s="16" t="inlineStr">
        <is>
          <t xml:space="preserve">FY30E</t>
        </is>
      </c>
      <c r="K5" s="16" t="inlineStr">
        <is>
          <t xml:space="preserve">FY31E</t>
        </is>
      </c>
    </row>
    <row r="6">
      <c r="B6" t="inlineStr">
        <is>
          <t xml:space="preserve">Balance sheet balances (assets - claims)</t>
        </is>
      </c>
      <c r="G6" s="24">
        <f>BS!G28</f>
        <v>0</v>
      </c>
      <c r="H6" s="24">
        <f>BS!H28</f>
        <v>0</v>
      </c>
      <c r="I6" s="24">
        <f>BS!I28</f>
        <v>0</v>
      </c>
      <c r="J6" s="24">
        <f>BS!J28</f>
        <v>0</v>
      </c>
      <c r="K6" s="24">
        <f>BS!K28</f>
        <v>0</v>
      </c>
    </row>
    <row r="7">
      <c r="B7" t="inlineStr">
        <is>
          <t xml:space="preserve">Cash ties to the sweep (BS cash - (min cash + cash after revolver - prepayments))</t>
        </is>
      </c>
      <c r="G7" s="22">
        <f>BS!G7-(Min_Cash+Debt!G13-Debt!G44)</f>
        <v>-1.4210854715202004e-14</v>
      </c>
      <c r="H7" s="22">
        <f>BS!H7-(Min_Cash+Debt!H13-Debt!H44)</f>
        <v>-1.4210854715202004e-14</v>
      </c>
      <c r="I7" s="22">
        <f>BS!I7-(Min_Cash+Debt!I13-Debt!I44)</f>
        <v>-1.4210854715202004e-14</v>
      </c>
      <c r="J7" s="22">
        <f>BS!J7-(Min_Cash+Debt!J13-Debt!J44)</f>
        <v>0</v>
      </c>
      <c r="K7" s="22">
        <f>BS!K7-(Min_Cash+Debt!K13-Debt!K44)</f>
        <v>1.1368683772161603e-13</v>
      </c>
    </row>
    <row r="8">
      <c r="B8" t="inlineStr">
        <is>
          <t xml:space="preserve">Revolver above commitment</t>
        </is>
      </c>
      <c r="G8" s="22">
        <f>MAX(0,Debt!G19-Rev_Commitment)</f>
        <v>0</v>
      </c>
      <c r="H8" s="22">
        <f>MAX(0,Debt!H19-Rev_Commitment)</f>
        <v>0</v>
      </c>
      <c r="I8" s="22">
        <f>MAX(0,Debt!I19-Rev_Commitment)</f>
        <v>0</v>
      </c>
      <c r="J8" s="22">
        <f>MAX(0,Debt!J19-Rev_Commitment)</f>
        <v>0</v>
      </c>
      <c r="K8" s="22">
        <f>MAX(0,Debt!K19-Rev_Commitment)</f>
        <v>0</v>
      </c>
    </row>
    <row r="9">
      <c r="B9" t="inlineStr">
        <is>
          <t xml:space="preserve">Liquidity shortfall flag (cash below minimum after the revolver)</t>
        </is>
      </c>
      <c r="G9" s="51">
        <f>IF(Debt!G13&lt;0,1,0)</f>
        <v>0</v>
      </c>
      <c r="H9" s="51">
        <f>IF(Debt!H13&lt;0,1,0)</f>
        <v>0</v>
      </c>
      <c r="I9" s="51">
        <f>IF(Debt!I13&lt;0,1,0)</f>
        <v>0</v>
      </c>
      <c r="J9" s="51">
        <f>IF(Debt!J13&lt;0,1,0)</f>
        <v>0</v>
      </c>
      <c r="K9" s="51">
        <f>IF(Debt!K13&lt;0,1,0)</f>
        <v>0</v>
      </c>
    </row>
    <row r="11">
      <c r="B11" s="4" t="inlineStr">
        <is>
          <t xml:space="preserve">Transaction checks</t>
        </is>
      </c>
    </row>
    <row r="12">
      <c r="B12" t="inlineStr">
        <is>
          <t xml:space="preserve">Sources - uses</t>
        </is>
      </c>
      <c r="D12" s="24">
        <f>Deal!$D$38</f>
        <v>0</v>
      </c>
    </row>
    <row r="13">
      <c r="B13" t="inlineStr">
        <is>
          <t xml:space="preserve">Pro forma balance sheet balances</t>
        </is>
      </c>
      <c r="D13" s="24">
        <f>BS!$F$28</f>
        <v>0</v>
      </c>
    </row>
    <row r="14">
      <c r="B14" t="inlineStr">
        <is>
          <t xml:space="preserve">Value-creation bridge reconciles</t>
        </is>
      </c>
      <c r="D14" s="24">
        <f>Returns!$D$28</f>
        <v>2.7284841053187847e-12</v>
      </c>
    </row>
    <row r="15">
      <c r="B15" s="14" t="inlineStr">
        <is>
          <t xml:space="preserve">Overall</t>
        </is>
      </c>
      <c r="D15" s="52" t="str">
        <f>IF(AND(MAX($G$6:$K$6)&lt;0.001,MAX($G$7:$K$7)&lt;0.001,MAX($G$8:$K$8)&lt;0.001,MIN($G$6:$K$6)&gt;-0.001,MIN($G$7:$K$7)&gt;-0.001,ABS($D$12)&lt;0.001,ABS($D$13)&lt;0.001,ABS($D$14)&lt;0.001),"ALL CHECKS PASS","CHECK FAILURE")</f>
        <v>ALL CHECKS PASS</v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STOCKEX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Project Saffron: Saffron Consumer Brands Ltd</dc:title>
  <dc:creator>STOCKEX</dc:creator>
  <dcterms:created xsi:type="dcterms:W3CDTF">2026-10-21T17:53:56Z</dcterms:created>
</cp:coreProperties>
</file>